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50" activeTab="2"/>
  </bookViews>
  <sheets>
    <sheet name="api_response_csv" sheetId="1" r:id="rId1"/>
    <sheet name="stock_etablissement" sheetId="2" r:id="rId2"/>
    <sheet name="stock_unitelegale" sheetId="3" r:id="rId3"/>
  </sheets>
  <definedNames>
    <definedName name="dessinstocketablissement" localSheetId="1">stock_etablissement!$A$1:$E$49</definedName>
    <definedName name="dessinstocketablissement" localSheetId="2">stock_unitelegale!$A$1:$E$49</definedName>
    <definedName name="dessinstocketablissement_1" localSheetId="1">stock_etablissement!$A$1:$E$49</definedName>
    <definedName name="dessinstockunitelegale" localSheetId="2">stock_unitelegale!$A$1:$E$34</definedName>
    <definedName name="response" localSheetId="0">api_response_csv!$A$1:$CA$21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2" i="2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2" i="3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2" i="2"/>
</calcChain>
</file>

<file path=xl/connections.xml><?xml version="1.0" encoding="utf-8"?>
<connections xmlns="http://schemas.openxmlformats.org/spreadsheetml/2006/main">
  <connection id="1" name="dessinstocketablissement" type="6" refreshedVersion="6" background="1" saveData="1">
    <textPr codePage="65001" sourceFile="D:\repertoire-sirene-2.0\dessinstocketablissement.csv" decimal="," thousands=" " tab="0" comma="1">
      <textFields count="5">
        <textField/>
        <textField/>
        <textField/>
        <textField/>
        <textField/>
      </textFields>
    </textPr>
  </connection>
  <connection id="2" name="dessinstocketablissement1" type="6" refreshedVersion="6" background="1" saveData="1">
    <textPr codePage="65001" sourceFile="D:\repertoire-sirene-2.0\dessinstocketablissement.csv" decimal="," thousands=" " tab="0" comma="1">
      <textFields count="5">
        <textField/>
        <textField/>
        <textField/>
        <textField/>
        <textField/>
      </textFields>
    </textPr>
  </connection>
  <connection id="3" name="dessinstocketablissement2" type="6" refreshedVersion="6" background="1" saveData="1">
    <textPr codePage="65001" sourceFile="D:\repertoire-sirene-2.0\dessinstocketablissement.csv" decimal="," thousands=" " tab="0" comma="1">
      <textFields count="5">
        <textField/>
        <textField/>
        <textField/>
        <textField/>
        <textField/>
      </textFields>
    </textPr>
  </connection>
  <connection id="4" name="dessinstockunitelegale" type="6" refreshedVersion="6" background="1" saveData="1">
    <textPr codePage="65001" sourceFile="D:\repertoire-sirene-2.0\dessinstockunitelegale.csv" decimal="," thousands=" " tab="0" comma="1">
      <textFields count="5">
        <textField/>
        <textField/>
        <textField/>
        <textField/>
        <textField/>
      </textFields>
    </textPr>
  </connection>
  <connection id="5" name="response" type="6" refreshedVersion="6" background="1" saveData="1">
    <textPr codePage="850" sourceFile="D:\sirene_project\sirene_project\sirene-api\rest-client-requests\responses\response.csv" decimal="," thousands=" " tab="0" comma="1">
      <textFields count="79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<sst xmlns="http://schemas.openxmlformats.org/spreadsheetml/2006/main" count="814" uniqueCount="324">
  <si>
    <t>siren</t>
  </si>
  <si>
    <t>nic</t>
  </si>
  <si>
    <t>siret</t>
  </si>
  <si>
    <t>statutDiffusionEtablissement</t>
  </si>
  <si>
    <t>dateCreationEtablissement</t>
  </si>
  <si>
    <t>trancheEffectifsEtablissement</t>
  </si>
  <si>
    <t>anneeEffectifsEtablissement</t>
  </si>
  <si>
    <t>activitePrincipaleRegistreMetiersEtablissement</t>
  </si>
  <si>
    <t>dateDernierTraitementEtablissement</t>
  </si>
  <si>
    <t>etablissementSiege</t>
  </si>
  <si>
    <t>nombrePeriodesEtablissement</t>
  </si>
  <si>
    <t>etatAdministratifUniteLegale</t>
  </si>
  <si>
    <t>statutDiffusionUniteLegale</t>
  </si>
  <si>
    <t>unitePurgeeUniteLegale</t>
  </si>
  <si>
    <t>dateCreationUniteLegale</t>
  </si>
  <si>
    <t>categorieJuridiqueUniteLegale</t>
  </si>
  <si>
    <t>denominationUniteLegale</t>
  </si>
  <si>
    <t>sigleUniteLegale</t>
  </si>
  <si>
    <t>denominationUsuelle1UniteLegale</t>
  </si>
  <si>
    <t>denominationUsuelle2UniteLegale</t>
  </si>
  <si>
    <t>denominationUsuelle3UniteLegale</t>
  </si>
  <si>
    <t>sexeUniteLegale</t>
  </si>
  <si>
    <t>nomUniteLegale</t>
  </si>
  <si>
    <t>nomUsageUniteLegale</t>
  </si>
  <si>
    <t>prenom1UniteLegale</t>
  </si>
  <si>
    <t>prenom2UniteLegale</t>
  </si>
  <si>
    <t>prenom3UniteLegale</t>
  </si>
  <si>
    <t>prenom4UniteLegale</t>
  </si>
  <si>
    <t>prenomUsuelUniteLegale</t>
  </si>
  <si>
    <t>pseudonymeUniteLegale</t>
  </si>
  <si>
    <t>activitePrincipaleUniteLegale</t>
  </si>
  <si>
    <t>nomenclatureActivitePrincipaleUniteLegale</t>
  </si>
  <si>
    <t>identifiantAssociationUniteLegale</t>
  </si>
  <si>
    <t>economieSocialeSolidaireUniteLegale</t>
  </si>
  <si>
    <t>caractereEmployeurUniteLegale</t>
  </si>
  <si>
    <t>trancheEffectifsUniteLegale</t>
  </si>
  <si>
    <t>anneeEffectifsUniteLegale</t>
  </si>
  <si>
    <t>nicSiegeUniteLegale</t>
  </si>
  <si>
    <t>dateDernierTraitementUniteLegale</t>
  </si>
  <si>
    <t>categorieEntreprise</t>
  </si>
  <si>
    <t>anneeCategorieEntreprise</t>
  </si>
  <si>
    <t>complementAdresseEtablissement</t>
  </si>
  <si>
    <t>numeroVoieEtablissement</t>
  </si>
  <si>
    <t>indiceRepetitionEtablissement</t>
  </si>
  <si>
    <t>typeVoieEtablissement</t>
  </si>
  <si>
    <t>libelleVoieEtablissement</t>
  </si>
  <si>
    <t>codePostalEtablissement</t>
  </si>
  <si>
    <t>libelleCommuneEtablissement</t>
  </si>
  <si>
    <t>libelleCommuneEtrangerEtablissement</t>
  </si>
  <si>
    <t>distributionSpecialeEtablissement</t>
  </si>
  <si>
    <t>codeCommuneEtablissement</t>
  </si>
  <si>
    <t>codeCedexEtablissement</t>
  </si>
  <si>
    <t>libelleCedexEtablissement</t>
  </si>
  <si>
    <t>codePaysEtrangerEtablissement</t>
  </si>
  <si>
    <t>libellePaysEtrangerEtablissement</t>
  </si>
  <si>
    <t>complementAdresse2Etablissement</t>
  </si>
  <si>
    <t>numeroVoie2Etablissement</t>
  </si>
  <si>
    <t>indiceRepetition2Etablissement</t>
  </si>
  <si>
    <t>typeVoie2Etablissement</t>
  </si>
  <si>
    <t>libelleVoie2Etablissement</t>
  </si>
  <si>
    <t>codePostal2Etablissement</t>
  </si>
  <si>
    <t>libelleCommune2Etablissement</t>
  </si>
  <si>
    <t>libelleCommuneEtranger2Etablissement</t>
  </si>
  <si>
    <t>distributionSpeciale2Etablissement</t>
  </si>
  <si>
    <t>codeCommune2Etablissement</t>
  </si>
  <si>
    <t>codeCedex2Etablissement</t>
  </si>
  <si>
    <t>libelleCedex2Etablissement</t>
  </si>
  <si>
    <t>codePaysEtranger2Etablissement</t>
  </si>
  <si>
    <t>libellePaysEtranger2Etablissement</t>
  </si>
  <si>
    <t>dateFin</t>
  </si>
  <si>
    <t>dateDebut</t>
  </si>
  <si>
    <t>etatAdministratifEtablissement</t>
  </si>
  <si>
    <t>enseigne1Etablissement</t>
  </si>
  <si>
    <t>enseigne2Etablissement</t>
  </si>
  <si>
    <t>enseigne3Etablissement</t>
  </si>
  <si>
    <t>denominationUsuelleEtablissement</t>
  </si>
  <si>
    <t>activitePrincipaleEtablissement</t>
  </si>
  <si>
    <t>nomenclatureActivitePrincipaleEtablissement</t>
  </si>
  <si>
    <t>caractereEmployeurEtablissement</t>
  </si>
  <si>
    <t>300399573</t>
  </si>
  <si>
    <t>00025</t>
  </si>
  <si>
    <t>30039957300025</t>
  </si>
  <si>
    <t>O</t>
  </si>
  <si>
    <t>1973-03-02</t>
  </si>
  <si>
    <t>true</t>
  </si>
  <si>
    <t>A</t>
  </si>
  <si>
    <t>SCM DU LATHAN</t>
  </si>
  <si>
    <t>82.19Z</t>
  </si>
  <si>
    <t>NAFRev2</t>
  </si>
  <si>
    <t>N</t>
  </si>
  <si>
    <t>PME</t>
  </si>
  <si>
    <t>LONGUE</t>
  </si>
  <si>
    <t>PL</t>
  </si>
  <si>
    <t>DU MAIL</t>
  </si>
  <si>
    <t>LONGUE JUMELLES</t>
  </si>
  <si>
    <t>301523460</t>
  </si>
  <si>
    <t>00022</t>
  </si>
  <si>
    <t>30152346000022</t>
  </si>
  <si>
    <t>1981-04-30</t>
  </si>
  <si>
    <t>NN</t>
  </si>
  <si>
    <t>false</t>
  </si>
  <si>
    <t>BUTACHIMIE</t>
  </si>
  <si>
    <t>20.14Z</t>
  </si>
  <si>
    <t>00071</t>
  </si>
  <si>
    <t>ETI</t>
  </si>
  <si>
    <t>QUAI</t>
  </si>
  <si>
    <t>DU PRESIDENT PAUL DOUMER</t>
  </si>
  <si>
    <t>COURBEVOIE</t>
  </si>
  <si>
    <t>F</t>
  </si>
  <si>
    <t>24.1G</t>
  </si>
  <si>
    <t>NAF1993</t>
  </si>
  <si>
    <t>00030</t>
  </si>
  <si>
    <t>30152346000030</t>
  </si>
  <si>
    <t>1995-12-25</t>
  </si>
  <si>
    <t>GESTIFTSFELD</t>
  </si>
  <si>
    <t>CHALAMPE</t>
  </si>
  <si>
    <t>00048</t>
  </si>
  <si>
    <t>30152346000048</t>
  </si>
  <si>
    <t>2000-12-04</t>
  </si>
  <si>
    <t>24-26</t>
  </si>
  <si>
    <t>ALPHONSE LE GALLO</t>
  </si>
  <si>
    <t>BOULOGNE BILLANCOURT</t>
  </si>
  <si>
    <t>NAFRev1</t>
  </si>
  <si>
    <t>00055</t>
  </si>
  <si>
    <t>30152346000055</t>
  </si>
  <si>
    <t>2005-10-24</t>
  </si>
  <si>
    <t>IMMEUBLE COEUR DEFENSE TOUR A</t>
  </si>
  <si>
    <t>ESP</t>
  </si>
  <si>
    <t>DU GENERAL DE GAULLE</t>
  </si>
  <si>
    <t>70.10Z</t>
  </si>
  <si>
    <t>00063</t>
  </si>
  <si>
    <t>30152346000063</t>
  </si>
  <si>
    <t>2013-11-01</t>
  </si>
  <si>
    <t>AV</t>
  </si>
  <si>
    <t>ALBERT RAMBOZ</t>
  </si>
  <si>
    <t>SAINT FONS</t>
  </si>
  <si>
    <t>30152346000071</t>
  </si>
  <si>
    <t>2014-08-01</t>
  </si>
  <si>
    <t>IMMEUBLE LE FORUM</t>
  </si>
  <si>
    <t>RUE</t>
  </si>
  <si>
    <t>MAURICE FLANDIN</t>
  </si>
  <si>
    <t>LYON 3EME</t>
  </si>
  <si>
    <t>20.59Z</t>
  </si>
  <si>
    <t>309645927</t>
  </si>
  <si>
    <t>00026</t>
  </si>
  <si>
    <t>30964592700026</t>
  </si>
  <si>
    <t>1900-01-01</t>
  </si>
  <si>
    <t>ANGERS ENROBES</t>
  </si>
  <si>
    <t>23.99Z</t>
  </si>
  <si>
    <t>DU BOCAGE</t>
  </si>
  <si>
    <t>MOZE SUR LOUET</t>
  </si>
  <si>
    <t>312361371</t>
  </si>
  <si>
    <t>00114</t>
  </si>
  <si>
    <t>31236137100114</t>
  </si>
  <si>
    <t>4399CZ</t>
  </si>
  <si>
    <t>M</t>
  </si>
  <si>
    <t>BOUAZZAOUI</t>
  </si>
  <si>
    <t>MOHAMED</t>
  </si>
  <si>
    <t>43.99C</t>
  </si>
  <si>
    <t>MAS BAGNIERES PTE 109 BAT A3</t>
  </si>
  <si>
    <t>TATIUS</t>
  </si>
  <si>
    <t>MONTPELLIER</t>
  </si>
  <si>
    <t>BM MACONNERIE CARRELAGE</t>
  </si>
  <si>
    <t>314186875</t>
  </si>
  <si>
    <t>00014</t>
  </si>
  <si>
    <t>31418687500014</t>
  </si>
  <si>
    <t>1978-01-01</t>
  </si>
  <si>
    <t>C</t>
  </si>
  <si>
    <t>SCI DE LA RUE RONSARD</t>
  </si>
  <si>
    <t>68.20B</t>
  </si>
  <si>
    <t>RONSARD</t>
  </si>
  <si>
    <t>ANGERS</t>
  </si>
  <si>
    <t>320955396</t>
  </si>
  <si>
    <t>00066</t>
  </si>
  <si>
    <t>32095539600066</t>
  </si>
  <si>
    <t>1990-10-01</t>
  </si>
  <si>
    <t>OREXAD</t>
  </si>
  <si>
    <t>OREFI</t>
  </si>
  <si>
    <t>46.69B</t>
  </si>
  <si>
    <t>02633</t>
  </si>
  <si>
    <t>PIERRE MARTIN</t>
  </si>
  <si>
    <t>LE MANS</t>
  </si>
  <si>
    <t>51.8M</t>
  </si>
  <si>
    <t>00082</t>
  </si>
  <si>
    <t>32095539600082</t>
  </si>
  <si>
    <t>1991-07-01</t>
  </si>
  <si>
    <t>ZI DE L ERIGNY</t>
  </si>
  <si>
    <t>ROGER DION</t>
  </si>
  <si>
    <t>BLOIS</t>
  </si>
  <si>
    <t>BP 115</t>
  </si>
  <si>
    <t>BLOIS CEDEX</t>
  </si>
  <si>
    <t>BERLANCOURT</t>
  </si>
  <si>
    <t>00108</t>
  </si>
  <si>
    <t>32095539600108</t>
  </si>
  <si>
    <t>1993-10-15</t>
  </si>
  <si>
    <t>PRE GAUDRY</t>
  </si>
  <si>
    <t>LYON 7EME</t>
  </si>
  <si>
    <t>51.6K</t>
  </si>
  <si>
    <t>00124</t>
  </si>
  <si>
    <t>32095539600124</t>
  </si>
  <si>
    <t>1993-12-31</t>
  </si>
  <si>
    <t>DES BAS BUISSONS</t>
  </si>
  <si>
    <t>DREUX</t>
  </si>
  <si>
    <t>TRANSMISSIONS STOCK</t>
  </si>
  <si>
    <t>00132</t>
  </si>
  <si>
    <t>32095539600132</t>
  </si>
  <si>
    <t>ET 116</t>
  </si>
  <si>
    <t>D ALFORTVILLE</t>
  </si>
  <si>
    <t>CHOISY LE ROI</t>
  </si>
  <si>
    <t>00157</t>
  </si>
  <si>
    <t>32095539600157</t>
  </si>
  <si>
    <t>1994-02-14</t>
  </si>
  <si>
    <t>IMM LE VICTOR</t>
  </si>
  <si>
    <t>CHS</t>
  </si>
  <si>
    <t>JULES CESAR</t>
  </si>
  <si>
    <t>BEAUCHAMP</t>
  </si>
  <si>
    <t>00223</t>
  </si>
  <si>
    <t>32095539600223</t>
  </si>
  <si>
    <t>DE FLEURUS</t>
  </si>
  <si>
    <t>LE HAVRE</t>
  </si>
  <si>
    <t>00231</t>
  </si>
  <si>
    <t>32095539600231</t>
  </si>
  <si>
    <t>ZI</t>
  </si>
  <si>
    <t>PASTEUR</t>
  </si>
  <si>
    <t>BELLEU</t>
  </si>
  <si>
    <t>00249</t>
  </si>
  <si>
    <t>32095539600249</t>
  </si>
  <si>
    <t>JEAN MARIE MERLE</t>
  </si>
  <si>
    <t>VAULX EN VELIN</t>
  </si>
  <si>
    <t>F.I.M</t>
  </si>
  <si>
    <t>00264</t>
  </si>
  <si>
    <t>32095539600264</t>
  </si>
  <si>
    <t>DE BRUXELLES</t>
  </si>
  <si>
    <t>NANTES</t>
  </si>
  <si>
    <t>Nom</t>
  </si>
  <si>
    <t>Libellé</t>
  </si>
  <si>
    <t>Longueur</t>
  </si>
  <si>
    <t>Type</t>
  </si>
  <si>
    <t>Ordre</t>
  </si>
  <si>
    <t>Numéro Siren</t>
  </si>
  <si>
    <t>Texte</t>
  </si>
  <si>
    <t>Numéro interne de classement de l'établissement</t>
  </si>
  <si>
    <t>Numéro Siret</t>
  </si>
  <si>
    <t>Statut de diffusion de l’établissement</t>
  </si>
  <si>
    <t>Liste de codes</t>
  </si>
  <si>
    <t>Date de création de l’établissement</t>
  </si>
  <si>
    <t>Date</t>
  </si>
  <si>
    <t>Tranche d’effectif salarié de l’établissement</t>
  </si>
  <si>
    <t>Année de validité de la tranche d’effectif salarié de l’établissement</t>
  </si>
  <si>
    <t>Activité exercée par l’artisan inscrit au registre des métiers</t>
  </si>
  <si>
    <t>Date du dernier traitement de l’établissement dans le répertoire Sirene</t>
  </si>
  <si>
    <t>Qualité de siège ou non de l’établissement</t>
  </si>
  <si>
    <t>Nombre de périodes de l’établissement</t>
  </si>
  <si>
    <t>Numérique</t>
  </si>
  <si>
    <t>Complément d’adresse</t>
  </si>
  <si>
    <t>Numéro de voie</t>
  </si>
  <si>
    <t>Indice de répétition dans la voie</t>
  </si>
  <si>
    <t>Type de voie</t>
  </si>
  <si>
    <t>Libellé de voie</t>
  </si>
  <si>
    <t>Code postal</t>
  </si>
  <si>
    <t>Libellé de la commune</t>
  </si>
  <si>
    <t>Libellé de la commune pour un établissement situé à l’étranger</t>
  </si>
  <si>
    <t>Distribution spéciale de l’établissement</t>
  </si>
  <si>
    <t>Code commune de l’établissement</t>
  </si>
  <si>
    <t>Code cedex</t>
  </si>
  <si>
    <t>Libellé du code cedex</t>
  </si>
  <si>
    <t>Code pays pour un établissement situé à l’étranger</t>
  </si>
  <si>
    <t>Libellé du pays pour un établissement situé à l’étranger</t>
  </si>
  <si>
    <t>Complément d’adresse secondaire</t>
  </si>
  <si>
    <t>Numéro de la voie de l’adresse secondaire</t>
  </si>
  <si>
    <t>Indice de répétition dans la voie pour l’adresse secondaire</t>
  </si>
  <si>
    <t>Type de voie de l’adresse secondaire</t>
  </si>
  <si>
    <t>Libellé de voie de l’adresse secondaire</t>
  </si>
  <si>
    <t>Code postal de l’adresse secondaire</t>
  </si>
  <si>
    <t>Libellé de la commune de l’adresse secondaire</t>
  </si>
  <si>
    <t>Libellé de la commune de l’adresse secondaire pour un établissement situé à l’étranger</t>
  </si>
  <si>
    <t>Distribution spéciale de l’adresse secondaire de l’établissement</t>
  </si>
  <si>
    <t>Code commune de l’adresse secondaire</t>
  </si>
  <si>
    <t>Code cedex de l’adresse secondaire</t>
  </si>
  <si>
    <t>Libellé du code cedex de l’adresse secondaire</t>
  </si>
  <si>
    <t>Code pays de l’adresse secondaire pour un établissement situé à l’étranger</t>
  </si>
  <si>
    <t>Libellé du pays de l’adresse secondaire pour un établissement situé à l’étranger</t>
  </si>
  <si>
    <t>Date de début d'une période d'historique d'un établissement</t>
  </si>
  <si>
    <t>État administratif de l’établissement</t>
  </si>
  <si>
    <t>Première ligne d’enseigne de l’établissement</t>
  </si>
  <si>
    <t>Deuxième ligne d’enseigne de l’établissement</t>
  </si>
  <si>
    <t>Troisième ligne d’enseigne de l’établissement</t>
  </si>
  <si>
    <t>Dénomination usuelle de l’établissement</t>
  </si>
  <si>
    <t>Activité principale de l'établissement pendant la période</t>
  </si>
  <si>
    <t>Nomenclature d’activité de la variable activitePrincipaleEtablissement</t>
  </si>
  <si>
    <t>Caractère employeur de l’établissement</t>
  </si>
  <si>
    <t>Statut de diffusion de l’unité légale</t>
  </si>
  <si>
    <t>Unité légale purgée</t>
  </si>
  <si>
    <t>Date de création de l'unité légale</t>
  </si>
  <si>
    <t>Sigle de l’unité légale</t>
  </si>
  <si>
    <t>Caractère féminin ou masculin de la personne physique</t>
  </si>
  <si>
    <t>Premier prénom déclaré pour un personne physique</t>
  </si>
  <si>
    <t>Deuxième prénom déclaré pour un personne physique</t>
  </si>
  <si>
    <t>Troisième prénom déclaré pour un personne physique</t>
  </si>
  <si>
    <t>Quatrième prénom déclaré pour un personne physique</t>
  </si>
  <si>
    <t>Prénom usuel de la personne physique</t>
  </si>
  <si>
    <t>Pseudonyme de la personne physique</t>
  </si>
  <si>
    <t>Numéro au Répertoire National des Associations</t>
  </si>
  <si>
    <t>Tranche d’effectif salarié de l’unité légale</t>
  </si>
  <si>
    <t>Année de validité de la tranche d’effectif salarié de l’unité légale</t>
  </si>
  <si>
    <t>Date du dernier traitement de l’unité légale dans le répertoire Sirene</t>
  </si>
  <si>
    <t>nombrePeriodesUniteLegale</t>
  </si>
  <si>
    <t>Nombre de périodes de l’unité légale</t>
  </si>
  <si>
    <t>Catégorie à laquelle appartient l’entreprise</t>
  </si>
  <si>
    <t>Année de validité de la catégorie d’entreprise</t>
  </si>
  <si>
    <t>Date de début d'une période d'historique d'une unité légale</t>
  </si>
  <si>
    <t>État administratif de l’unité légale</t>
  </si>
  <si>
    <t>Nom de naissance de la personnes physique</t>
  </si>
  <si>
    <t>Nom d’usage de la personne physique</t>
  </si>
  <si>
    <t>Dénomination de l’unité légale</t>
  </si>
  <si>
    <t>Dénomination usuelle de l’unité légale</t>
  </si>
  <si>
    <t>Dénomination usuelle de l’unité légale – deuxième champ</t>
  </si>
  <si>
    <t>Dénomination usuelle de l’unité légale – troisième champ</t>
  </si>
  <si>
    <t>Catégorie juridique de l’unité légale</t>
  </si>
  <si>
    <t>Activité principale de l’unité légale</t>
  </si>
  <si>
    <t>Nomenclature d’activité de la variable activitePrincipaleUniteLegale</t>
  </si>
  <si>
    <t>Numéro interne de classement (Nic) de l’unité légale</t>
  </si>
  <si>
    <t>Appartenance au champ de l’économie sociale et solidaire</t>
  </si>
  <si>
    <t>Caractère employeur de l’unité légale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</si>
</sst>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49" fontId="0" fillId="2" borderId="1" xfId="0" applyNumberFormat="1" applyFill="1" applyBorder="1"/>
    <xf numFmtId="0" fontId="0" fillId="0" borderId="1" xfId="0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0" xfId="0" applyFill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response" connectionId="5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dessinstocketablissement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dessinstocketablissement_1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dessinstockunitelegale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dessinstocketablissement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1"/>
  <sheetViews>
    <sheetView workbookViewId="0">
      <selection activeCell="H35" sqref="H35"/>
    </sheetView>
  </sheetViews>
  <sheetFormatPr baseColWidth="10" defaultColWidth="9.1796875" defaultRowHeight="14.5" x14ac:dyDescent="0.35"/>
  <cols>
    <col min="1" max="1" width="10" style="1" bestFit="1" customWidth="1"/>
    <col min="2" max="2" width="6" style="1" bestFit="1" customWidth="1"/>
    <col min="3" max="3" width="15" style="1" bestFit="1" customWidth="1"/>
    <col min="4" max="4" width="27.26953125" style="1" bestFit="1" customWidth="1"/>
    <col min="5" max="5" width="25.453125" style="1" bestFit="1" customWidth="1"/>
    <col min="6" max="6" width="28" style="1" bestFit="1" customWidth="1"/>
    <col min="7" max="7" width="26.81640625" style="1" bestFit="1" customWidth="1"/>
    <col min="8" max="8" width="44" style="1" bestFit="1" customWidth="1"/>
    <col min="9" max="9" width="34.7265625" style="1" bestFit="1" customWidth="1"/>
    <col min="10" max="10" width="18.7265625" style="1" bestFit="1" customWidth="1"/>
    <col min="11" max="11" width="28.81640625" style="1" bestFit="1" customWidth="1"/>
    <col min="12" max="12" width="27.26953125" style="8" bestFit="1" customWidth="1"/>
    <col min="13" max="13" width="25.1796875" style="8" bestFit="1" customWidth="1"/>
    <col min="14" max="14" width="22.81640625" style="8" bestFit="1" customWidth="1"/>
    <col min="15" max="15" width="23.453125" style="8" bestFit="1" customWidth="1"/>
    <col min="16" max="16" width="28.54296875" style="8" bestFit="1" customWidth="1"/>
    <col min="17" max="17" width="24.453125" style="8" bestFit="1" customWidth="1"/>
    <col min="18" max="18" width="15.7265625" style="8" bestFit="1" customWidth="1"/>
    <col min="19" max="21" width="32.453125" style="8" bestFit="1" customWidth="1"/>
    <col min="22" max="22" width="15.7265625" style="8" bestFit="1" customWidth="1"/>
    <col min="23" max="23" width="15.54296875" style="8" bestFit="1" customWidth="1"/>
    <col min="24" max="24" width="21" style="8" bestFit="1" customWidth="1"/>
    <col min="25" max="28" width="19.7265625" style="8" bestFit="1" customWidth="1"/>
    <col min="29" max="29" width="23.81640625" style="8" bestFit="1" customWidth="1"/>
    <col min="30" max="30" width="23.453125" style="8" bestFit="1" customWidth="1"/>
    <col min="31" max="31" width="27.453125" style="8" bestFit="1" customWidth="1"/>
    <col min="32" max="32" width="40.453125" style="8" bestFit="1" customWidth="1"/>
    <col min="33" max="33" width="31.7265625" style="8" bestFit="1" customWidth="1"/>
    <col min="34" max="34" width="35.1796875" style="8" bestFit="1" customWidth="1"/>
    <col min="35" max="35" width="29.7265625" style="8" bestFit="1" customWidth="1"/>
    <col min="36" max="36" width="25.81640625" style="8" bestFit="1" customWidth="1"/>
    <col min="37" max="37" width="24.7265625" style="8" bestFit="1" customWidth="1"/>
    <col min="38" max="38" width="19.1796875" style="8" bestFit="1" customWidth="1"/>
    <col min="39" max="39" width="32.7265625" style="8" bestFit="1" customWidth="1"/>
    <col min="40" max="40" width="18.54296875" style="8" bestFit="1" customWidth="1"/>
    <col min="41" max="41" width="24.54296875" style="8" bestFit="1" customWidth="1"/>
    <col min="42" max="42" width="32.54296875" style="1" bestFit="1" customWidth="1"/>
    <col min="43" max="43" width="25" style="1" bestFit="1" customWidth="1"/>
    <col min="44" max="44" width="28.81640625" style="1" bestFit="1" customWidth="1"/>
    <col min="45" max="45" width="22" style="1" bestFit="1" customWidth="1"/>
    <col min="46" max="46" width="27.26953125" style="1" bestFit="1" customWidth="1"/>
    <col min="47" max="47" width="23.54296875" style="1" bestFit="1" customWidth="1"/>
    <col min="48" max="48" width="28.81640625" style="1" bestFit="1" customWidth="1"/>
    <col min="49" max="49" width="36.453125" style="1" bestFit="1" customWidth="1"/>
    <col min="50" max="50" width="32" style="1" bestFit="1" customWidth="1"/>
    <col min="51" max="51" width="27.453125" style="1" bestFit="1" customWidth="1"/>
    <col min="52" max="52" width="23.7265625" style="1" bestFit="1" customWidth="1"/>
    <col min="53" max="53" width="25.1796875" style="1" bestFit="1" customWidth="1"/>
    <col min="54" max="54" width="29.7265625" style="1" bestFit="1" customWidth="1"/>
    <col min="55" max="55" width="31.1796875" style="1" bestFit="1" customWidth="1"/>
    <col min="56" max="56" width="33.54296875" style="1" bestFit="1" customWidth="1"/>
    <col min="57" max="57" width="26" style="1" bestFit="1" customWidth="1"/>
    <col min="58" max="58" width="29.81640625" style="1" bestFit="1" customWidth="1"/>
    <col min="59" max="59" width="23" style="1" bestFit="1" customWidth="1"/>
    <col min="60" max="60" width="24.7265625" style="1" bestFit="1" customWidth="1"/>
    <col min="61" max="61" width="24.54296875" style="1" bestFit="1" customWidth="1"/>
    <col min="62" max="62" width="29.81640625" style="1" bestFit="1" customWidth="1"/>
    <col min="63" max="63" width="37.54296875" style="1" bestFit="1" customWidth="1"/>
    <col min="64" max="64" width="33" style="1" bestFit="1" customWidth="1"/>
    <col min="65" max="65" width="28.453125" style="1" bestFit="1" customWidth="1"/>
    <col min="66" max="66" width="24.7265625" style="1" bestFit="1" customWidth="1"/>
    <col min="67" max="67" width="26.1796875" style="1" bestFit="1" customWidth="1"/>
    <col min="68" max="68" width="30.7265625" style="1" bestFit="1" customWidth="1"/>
    <col min="69" max="69" width="32.26953125" style="1" bestFit="1" customWidth="1"/>
    <col min="70" max="70" width="7.7265625" style="1" bestFit="1" customWidth="1"/>
    <col min="71" max="71" width="10.7265625" style="1" bestFit="1" customWidth="1"/>
    <col min="72" max="72" width="29.26953125" style="1" bestFit="1" customWidth="1"/>
    <col min="73" max="75" width="23" style="1" bestFit="1" customWidth="1"/>
    <col min="76" max="76" width="33.453125" style="1" bestFit="1" customWidth="1"/>
    <col min="77" max="77" width="29.453125" style="1" bestFit="1" customWidth="1"/>
    <col min="78" max="78" width="42.54296875" style="1" bestFit="1" customWidth="1"/>
    <col min="79" max="79" width="31.81640625" style="1" bestFit="1" customWidth="1"/>
  </cols>
  <sheetData>
    <row r="1" spans="1:79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9" t="s">
        <v>37</v>
      </c>
      <c r="AM1" s="6" t="s">
        <v>38</v>
      </c>
      <c r="AN1" s="6" t="s">
        <v>39</v>
      </c>
      <c r="AO1" s="6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</row>
    <row r="2" spans="1:79" s="3" customFormat="1" x14ac:dyDescent="0.35">
      <c r="A2" s="2" t="s">
        <v>79</v>
      </c>
      <c r="B2" s="2" t="s">
        <v>80</v>
      </c>
      <c r="C2" s="2" t="s">
        <v>81</v>
      </c>
      <c r="D2" s="2" t="s">
        <v>82</v>
      </c>
      <c r="E2" s="2" t="s">
        <v>83</v>
      </c>
      <c r="F2" s="4">
        <v>1</v>
      </c>
      <c r="G2" s="4">
        <v>2016</v>
      </c>
      <c r="H2" s="4"/>
      <c r="I2" s="5">
        <v>43422</v>
      </c>
      <c r="J2" s="4" t="s">
        <v>84</v>
      </c>
      <c r="K2" s="4">
        <v>8</v>
      </c>
      <c r="L2" s="6" t="s">
        <v>85</v>
      </c>
      <c r="M2" s="6" t="s">
        <v>82</v>
      </c>
      <c r="N2" s="6"/>
      <c r="O2" s="7">
        <v>1</v>
      </c>
      <c r="P2" s="6">
        <v>6589</v>
      </c>
      <c r="Q2" s="6" t="s">
        <v>86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 t="s">
        <v>87</v>
      </c>
      <c r="AF2" s="6" t="s">
        <v>88</v>
      </c>
      <c r="AG2" s="6"/>
      <c r="AH2" s="6" t="s">
        <v>89</v>
      </c>
      <c r="AI2" s="6" t="s">
        <v>82</v>
      </c>
      <c r="AJ2" s="6">
        <v>1</v>
      </c>
      <c r="AK2" s="6">
        <v>2016</v>
      </c>
      <c r="AL2" s="9" t="s">
        <v>80</v>
      </c>
      <c r="AM2" s="7">
        <v>43422</v>
      </c>
      <c r="AN2" s="6" t="s">
        <v>90</v>
      </c>
      <c r="AO2" s="6">
        <v>2015</v>
      </c>
      <c r="AP2" s="4" t="s">
        <v>91</v>
      </c>
      <c r="AQ2" s="4">
        <v>2</v>
      </c>
      <c r="AR2" s="4"/>
      <c r="AS2" s="4" t="s">
        <v>92</v>
      </c>
      <c r="AT2" s="4" t="s">
        <v>93</v>
      </c>
      <c r="AU2" s="4">
        <v>49160</v>
      </c>
      <c r="AV2" s="4" t="s">
        <v>94</v>
      </c>
      <c r="AW2" s="4"/>
      <c r="AX2" s="4"/>
      <c r="AY2" s="4">
        <v>49180</v>
      </c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5">
        <v>43160</v>
      </c>
      <c r="BT2" s="4" t="s">
        <v>85</v>
      </c>
      <c r="BU2" s="4"/>
      <c r="BV2" s="4"/>
      <c r="BW2" s="4"/>
      <c r="BX2" s="4"/>
      <c r="BY2" s="4" t="s">
        <v>87</v>
      </c>
      <c r="BZ2" s="4" t="s">
        <v>88</v>
      </c>
      <c r="CA2" s="4" t="s">
        <v>82</v>
      </c>
    </row>
    <row r="3" spans="1:79" s="3" customFormat="1" x14ac:dyDescent="0.35">
      <c r="A3" s="2" t="s">
        <v>95</v>
      </c>
      <c r="B3" s="2" t="s">
        <v>96</v>
      </c>
      <c r="C3" s="2" t="s">
        <v>97</v>
      </c>
      <c r="D3" s="2" t="s">
        <v>82</v>
      </c>
      <c r="E3" s="2" t="s">
        <v>98</v>
      </c>
      <c r="F3" s="4" t="s">
        <v>99</v>
      </c>
      <c r="G3" s="4"/>
      <c r="H3" s="4"/>
      <c r="I3" s="4"/>
      <c r="J3" s="4" t="s">
        <v>100</v>
      </c>
      <c r="K3" s="4">
        <v>4</v>
      </c>
      <c r="L3" s="6" t="s">
        <v>85</v>
      </c>
      <c r="M3" s="6" t="s">
        <v>82</v>
      </c>
      <c r="N3" s="6"/>
      <c r="O3" s="7">
        <v>29706</v>
      </c>
      <c r="P3" s="6">
        <v>5202</v>
      </c>
      <c r="Q3" s="6" t="s">
        <v>101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 t="s">
        <v>102</v>
      </c>
      <c r="AF3" s="6" t="s">
        <v>88</v>
      </c>
      <c r="AG3" s="6"/>
      <c r="AH3" s="6" t="s">
        <v>89</v>
      </c>
      <c r="AI3" s="6" t="s">
        <v>82</v>
      </c>
      <c r="AJ3" s="6">
        <v>32</v>
      </c>
      <c r="AK3" s="6">
        <v>2016</v>
      </c>
      <c r="AL3" s="9" t="s">
        <v>103</v>
      </c>
      <c r="AM3" s="7">
        <v>43422</v>
      </c>
      <c r="AN3" s="6" t="s">
        <v>104</v>
      </c>
      <c r="AO3" s="6">
        <v>2015</v>
      </c>
      <c r="AP3" s="4"/>
      <c r="AQ3" s="4">
        <v>25</v>
      </c>
      <c r="AR3" s="4"/>
      <c r="AS3" s="4" t="s">
        <v>105</v>
      </c>
      <c r="AT3" s="4" t="s">
        <v>106</v>
      </c>
      <c r="AU3" s="4">
        <v>92400</v>
      </c>
      <c r="AV3" s="4" t="s">
        <v>107</v>
      </c>
      <c r="AW3" s="4"/>
      <c r="AX3" s="4"/>
      <c r="AY3" s="4">
        <v>92026</v>
      </c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5">
        <v>36864</v>
      </c>
      <c r="BT3" s="4" t="s">
        <v>108</v>
      </c>
      <c r="BU3" s="4"/>
      <c r="BV3" s="4"/>
      <c r="BW3" s="4"/>
      <c r="BX3" s="4"/>
      <c r="BY3" s="4" t="s">
        <v>109</v>
      </c>
      <c r="BZ3" s="4" t="s">
        <v>110</v>
      </c>
      <c r="CA3" s="4" t="s">
        <v>89</v>
      </c>
    </row>
    <row r="4" spans="1:79" s="3" customFormat="1" x14ac:dyDescent="0.35">
      <c r="A4" s="2" t="s">
        <v>95</v>
      </c>
      <c r="B4" s="2" t="s">
        <v>111</v>
      </c>
      <c r="C4" s="2" t="s">
        <v>112</v>
      </c>
      <c r="D4" s="2" t="s">
        <v>82</v>
      </c>
      <c r="E4" s="2" t="s">
        <v>113</v>
      </c>
      <c r="F4" s="4">
        <v>32</v>
      </c>
      <c r="G4" s="4">
        <v>2016</v>
      </c>
      <c r="H4" s="4"/>
      <c r="I4" s="5">
        <v>43372</v>
      </c>
      <c r="J4" s="4" t="s">
        <v>100</v>
      </c>
      <c r="K4" s="4">
        <v>3</v>
      </c>
      <c r="L4" s="6" t="s">
        <v>85</v>
      </c>
      <c r="M4" s="6" t="s">
        <v>82</v>
      </c>
      <c r="N4" s="6"/>
      <c r="O4" s="7">
        <v>29706</v>
      </c>
      <c r="P4" s="6">
        <v>5202</v>
      </c>
      <c r="Q4" s="6" t="s">
        <v>101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 t="s">
        <v>102</v>
      </c>
      <c r="AF4" s="6" t="s">
        <v>88</v>
      </c>
      <c r="AG4" s="6"/>
      <c r="AH4" s="6" t="s">
        <v>89</v>
      </c>
      <c r="AI4" s="6" t="s">
        <v>82</v>
      </c>
      <c r="AJ4" s="6">
        <v>32</v>
      </c>
      <c r="AK4" s="6">
        <v>2016</v>
      </c>
      <c r="AL4" s="9" t="s">
        <v>103</v>
      </c>
      <c r="AM4" s="7">
        <v>43422</v>
      </c>
      <c r="AN4" s="6" t="s">
        <v>104</v>
      </c>
      <c r="AO4" s="6">
        <v>2015</v>
      </c>
      <c r="AP4" s="4"/>
      <c r="AQ4" s="4"/>
      <c r="AR4" s="4"/>
      <c r="AS4" s="4"/>
      <c r="AT4" s="4" t="s">
        <v>114</v>
      </c>
      <c r="AU4" s="4">
        <v>68490</v>
      </c>
      <c r="AV4" s="4" t="s">
        <v>115</v>
      </c>
      <c r="AW4" s="4"/>
      <c r="AX4" s="4"/>
      <c r="AY4" s="4">
        <v>68064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5">
        <v>42036</v>
      </c>
      <c r="BT4" s="4" t="s">
        <v>85</v>
      </c>
      <c r="BU4" s="4"/>
      <c r="BV4" s="4"/>
      <c r="BW4" s="4"/>
      <c r="BX4" s="4"/>
      <c r="BY4" s="4" t="s">
        <v>102</v>
      </c>
      <c r="BZ4" s="4" t="s">
        <v>88</v>
      </c>
      <c r="CA4" s="4" t="s">
        <v>82</v>
      </c>
    </row>
    <row r="5" spans="1:79" s="3" customFormat="1" x14ac:dyDescent="0.35">
      <c r="A5" s="2" t="s">
        <v>95</v>
      </c>
      <c r="B5" s="2" t="s">
        <v>116</v>
      </c>
      <c r="C5" s="2" t="s">
        <v>117</v>
      </c>
      <c r="D5" s="2" t="s">
        <v>82</v>
      </c>
      <c r="E5" s="2" t="s">
        <v>118</v>
      </c>
      <c r="F5" s="4" t="s">
        <v>99</v>
      </c>
      <c r="G5" s="4"/>
      <c r="H5" s="4"/>
      <c r="I5" s="5">
        <v>39046</v>
      </c>
      <c r="J5" s="4" t="s">
        <v>100</v>
      </c>
      <c r="K5" s="4">
        <v>3</v>
      </c>
      <c r="L5" s="6" t="s">
        <v>85</v>
      </c>
      <c r="M5" s="6" t="s">
        <v>82</v>
      </c>
      <c r="N5" s="6"/>
      <c r="O5" s="7">
        <v>29706</v>
      </c>
      <c r="P5" s="6">
        <v>5202</v>
      </c>
      <c r="Q5" s="6" t="s">
        <v>101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 t="s">
        <v>102</v>
      </c>
      <c r="AF5" s="6" t="s">
        <v>88</v>
      </c>
      <c r="AG5" s="6"/>
      <c r="AH5" s="6" t="s">
        <v>89</v>
      </c>
      <c r="AI5" s="6" t="s">
        <v>82</v>
      </c>
      <c r="AJ5" s="6">
        <v>32</v>
      </c>
      <c r="AK5" s="6">
        <v>2016</v>
      </c>
      <c r="AL5" s="9" t="s">
        <v>103</v>
      </c>
      <c r="AM5" s="7">
        <v>43422</v>
      </c>
      <c r="AN5" s="6" t="s">
        <v>104</v>
      </c>
      <c r="AO5" s="6">
        <v>2015</v>
      </c>
      <c r="AP5" s="4" t="s">
        <v>119</v>
      </c>
      <c r="AQ5" s="4">
        <v>24</v>
      </c>
      <c r="AR5" s="4"/>
      <c r="AS5" s="4" t="s">
        <v>105</v>
      </c>
      <c r="AT5" s="4" t="s">
        <v>120</v>
      </c>
      <c r="AU5" s="4">
        <v>92100</v>
      </c>
      <c r="AV5" s="4" t="s">
        <v>121</v>
      </c>
      <c r="AW5" s="4"/>
      <c r="AX5" s="4"/>
      <c r="AY5" s="4">
        <v>92012</v>
      </c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5">
        <v>38649</v>
      </c>
      <c r="BT5" s="4" t="s">
        <v>108</v>
      </c>
      <c r="BU5" s="4"/>
      <c r="BV5" s="4"/>
      <c r="BW5" s="4"/>
      <c r="BX5" s="4"/>
      <c r="BY5" s="4" t="s">
        <v>109</v>
      </c>
      <c r="BZ5" s="4" t="s">
        <v>122</v>
      </c>
      <c r="CA5" s="4" t="s">
        <v>89</v>
      </c>
    </row>
    <row r="6" spans="1:79" s="3" customFormat="1" x14ac:dyDescent="0.35">
      <c r="A6" s="2" t="s">
        <v>95</v>
      </c>
      <c r="B6" s="2" t="s">
        <v>123</v>
      </c>
      <c r="C6" s="2" t="s">
        <v>124</v>
      </c>
      <c r="D6" s="2" t="s">
        <v>82</v>
      </c>
      <c r="E6" s="2" t="s">
        <v>125</v>
      </c>
      <c r="F6" s="4"/>
      <c r="G6" s="4"/>
      <c r="H6" s="4"/>
      <c r="I6" s="5">
        <v>41618</v>
      </c>
      <c r="J6" s="4" t="s">
        <v>100</v>
      </c>
      <c r="K6" s="4">
        <v>3</v>
      </c>
      <c r="L6" s="6" t="s">
        <v>85</v>
      </c>
      <c r="M6" s="6" t="s">
        <v>82</v>
      </c>
      <c r="N6" s="6"/>
      <c r="O6" s="7">
        <v>29706</v>
      </c>
      <c r="P6" s="6">
        <v>5202</v>
      </c>
      <c r="Q6" s="6" t="s">
        <v>101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 t="s">
        <v>102</v>
      </c>
      <c r="AF6" s="6" t="s">
        <v>88</v>
      </c>
      <c r="AG6" s="6"/>
      <c r="AH6" s="6" t="s">
        <v>89</v>
      </c>
      <c r="AI6" s="6" t="s">
        <v>82</v>
      </c>
      <c r="AJ6" s="6">
        <v>32</v>
      </c>
      <c r="AK6" s="6">
        <v>2016</v>
      </c>
      <c r="AL6" s="9" t="s">
        <v>103</v>
      </c>
      <c r="AM6" s="7">
        <v>43422</v>
      </c>
      <c r="AN6" s="6" t="s">
        <v>104</v>
      </c>
      <c r="AO6" s="6">
        <v>2015</v>
      </c>
      <c r="AP6" s="4" t="s">
        <v>126</v>
      </c>
      <c r="AQ6" s="4">
        <v>110</v>
      </c>
      <c r="AR6" s="4"/>
      <c r="AS6" s="4" t="s">
        <v>127</v>
      </c>
      <c r="AT6" s="4" t="s">
        <v>128</v>
      </c>
      <c r="AU6" s="4">
        <v>92400</v>
      </c>
      <c r="AV6" s="4" t="s">
        <v>107</v>
      </c>
      <c r="AW6" s="4"/>
      <c r="AX6" s="4"/>
      <c r="AY6" s="4">
        <v>92026</v>
      </c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5">
        <v>41579</v>
      </c>
      <c r="BT6" s="4" t="s">
        <v>108</v>
      </c>
      <c r="BU6" s="4"/>
      <c r="BV6" s="4"/>
      <c r="BW6" s="4"/>
      <c r="BX6" s="4"/>
      <c r="BY6" s="4" t="s">
        <v>129</v>
      </c>
      <c r="BZ6" s="4" t="s">
        <v>88</v>
      </c>
      <c r="CA6" s="4" t="s">
        <v>89</v>
      </c>
    </row>
    <row r="7" spans="1:79" s="3" customFormat="1" x14ac:dyDescent="0.35">
      <c r="A7" s="2" t="s">
        <v>95</v>
      </c>
      <c r="B7" s="2" t="s">
        <v>130</v>
      </c>
      <c r="C7" s="2" t="s">
        <v>131</v>
      </c>
      <c r="D7" s="2" t="s">
        <v>82</v>
      </c>
      <c r="E7" s="2" t="s">
        <v>132</v>
      </c>
      <c r="F7" s="4" t="s">
        <v>99</v>
      </c>
      <c r="G7" s="4"/>
      <c r="H7" s="4"/>
      <c r="I7" s="5">
        <v>42486</v>
      </c>
      <c r="J7" s="4" t="s">
        <v>100</v>
      </c>
      <c r="K7" s="4">
        <v>3</v>
      </c>
      <c r="L7" s="6" t="s">
        <v>85</v>
      </c>
      <c r="M7" s="6" t="s">
        <v>82</v>
      </c>
      <c r="N7" s="6"/>
      <c r="O7" s="7">
        <v>29706</v>
      </c>
      <c r="P7" s="6">
        <v>5202</v>
      </c>
      <c r="Q7" s="6" t="s">
        <v>101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 t="s">
        <v>102</v>
      </c>
      <c r="AF7" s="6" t="s">
        <v>88</v>
      </c>
      <c r="AG7" s="6"/>
      <c r="AH7" s="6" t="s">
        <v>89</v>
      </c>
      <c r="AI7" s="6" t="s">
        <v>82</v>
      </c>
      <c r="AJ7" s="6">
        <v>32</v>
      </c>
      <c r="AK7" s="6">
        <v>2016</v>
      </c>
      <c r="AL7" s="9" t="s">
        <v>103</v>
      </c>
      <c r="AM7" s="7">
        <v>43422</v>
      </c>
      <c r="AN7" s="6" t="s">
        <v>104</v>
      </c>
      <c r="AO7" s="6">
        <v>2015</v>
      </c>
      <c r="AP7" s="4"/>
      <c r="AQ7" s="4"/>
      <c r="AR7" s="4"/>
      <c r="AS7" s="4" t="s">
        <v>133</v>
      </c>
      <c r="AT7" s="4" t="s">
        <v>134</v>
      </c>
      <c r="AU7" s="4">
        <v>69190</v>
      </c>
      <c r="AV7" s="4" t="s">
        <v>135</v>
      </c>
      <c r="AW7" s="4"/>
      <c r="AX7" s="4"/>
      <c r="AY7" s="4">
        <v>69199</v>
      </c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5">
        <v>41852</v>
      </c>
      <c r="BT7" s="4" t="s">
        <v>108</v>
      </c>
      <c r="BU7" s="4"/>
      <c r="BV7" s="4"/>
      <c r="BW7" s="4"/>
      <c r="BX7" s="4"/>
      <c r="BY7" s="4" t="s">
        <v>102</v>
      </c>
      <c r="BZ7" s="4" t="s">
        <v>88</v>
      </c>
      <c r="CA7" s="4" t="s">
        <v>82</v>
      </c>
    </row>
    <row r="8" spans="1:79" s="3" customFormat="1" x14ac:dyDescent="0.35">
      <c r="A8" s="2" t="s">
        <v>95</v>
      </c>
      <c r="B8" s="2" t="s">
        <v>103</v>
      </c>
      <c r="C8" s="2" t="s">
        <v>136</v>
      </c>
      <c r="D8" s="2" t="s">
        <v>82</v>
      </c>
      <c r="E8" s="2" t="s">
        <v>137</v>
      </c>
      <c r="F8" s="4">
        <v>3</v>
      </c>
      <c r="G8" s="4">
        <v>2016</v>
      </c>
      <c r="H8" s="4"/>
      <c r="I8" s="5">
        <v>43422</v>
      </c>
      <c r="J8" s="4" t="s">
        <v>84</v>
      </c>
      <c r="K8" s="4">
        <v>1</v>
      </c>
      <c r="L8" s="6" t="s">
        <v>85</v>
      </c>
      <c r="M8" s="6" t="s">
        <v>82</v>
      </c>
      <c r="N8" s="6"/>
      <c r="O8" s="7">
        <v>29706</v>
      </c>
      <c r="P8" s="6">
        <v>5202</v>
      </c>
      <c r="Q8" s="6" t="s">
        <v>101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 t="s">
        <v>102</v>
      </c>
      <c r="AF8" s="6" t="s">
        <v>88</v>
      </c>
      <c r="AG8" s="6"/>
      <c r="AH8" s="6" t="s">
        <v>89</v>
      </c>
      <c r="AI8" s="6" t="s">
        <v>82</v>
      </c>
      <c r="AJ8" s="6">
        <v>32</v>
      </c>
      <c r="AK8" s="6">
        <v>2016</v>
      </c>
      <c r="AL8" s="9" t="s">
        <v>103</v>
      </c>
      <c r="AM8" s="7">
        <v>43422</v>
      </c>
      <c r="AN8" s="6" t="s">
        <v>104</v>
      </c>
      <c r="AO8" s="6">
        <v>2015</v>
      </c>
      <c r="AP8" s="4" t="s">
        <v>138</v>
      </c>
      <c r="AQ8" s="4">
        <v>29</v>
      </c>
      <c r="AR8" s="4"/>
      <c r="AS8" s="4" t="s">
        <v>139</v>
      </c>
      <c r="AT8" s="4" t="s">
        <v>140</v>
      </c>
      <c r="AU8" s="4">
        <v>69003</v>
      </c>
      <c r="AV8" s="4" t="s">
        <v>141</v>
      </c>
      <c r="AW8" s="4"/>
      <c r="AX8" s="4"/>
      <c r="AY8" s="4">
        <v>69383</v>
      </c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5">
        <v>41852</v>
      </c>
      <c r="BT8" s="4" t="s">
        <v>85</v>
      </c>
      <c r="BU8" s="4"/>
      <c r="BV8" s="4"/>
      <c r="BW8" s="4"/>
      <c r="BX8" s="4"/>
      <c r="BY8" s="4" t="s">
        <v>142</v>
      </c>
      <c r="BZ8" s="4" t="s">
        <v>88</v>
      </c>
      <c r="CA8" s="4" t="s">
        <v>82</v>
      </c>
    </row>
    <row r="9" spans="1:79" s="3" customFormat="1" x14ac:dyDescent="0.35">
      <c r="A9" s="2" t="s">
        <v>143</v>
      </c>
      <c r="B9" s="2" t="s">
        <v>144</v>
      </c>
      <c r="C9" s="2" t="s">
        <v>145</v>
      </c>
      <c r="D9" s="2" t="s">
        <v>82</v>
      </c>
      <c r="E9" s="2" t="s">
        <v>146</v>
      </c>
      <c r="F9" s="4" t="s">
        <v>99</v>
      </c>
      <c r="G9" s="4"/>
      <c r="H9" s="4"/>
      <c r="I9" s="5">
        <v>43422</v>
      </c>
      <c r="J9" s="4" t="s">
        <v>84</v>
      </c>
      <c r="K9" s="4">
        <v>6</v>
      </c>
      <c r="L9" s="6" t="s">
        <v>85</v>
      </c>
      <c r="M9" s="6" t="s">
        <v>82</v>
      </c>
      <c r="N9" s="6"/>
      <c r="O9" s="7">
        <v>1</v>
      </c>
      <c r="P9" s="6">
        <v>5499</v>
      </c>
      <c r="Q9" s="6" t="s">
        <v>147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 t="s">
        <v>148</v>
      </c>
      <c r="AF9" s="6" t="s">
        <v>88</v>
      </c>
      <c r="AG9" s="6"/>
      <c r="AH9" s="6" t="s">
        <v>89</v>
      </c>
      <c r="AI9" s="6" t="s">
        <v>89</v>
      </c>
      <c r="AJ9" s="6" t="s">
        <v>99</v>
      </c>
      <c r="AK9" s="6"/>
      <c r="AL9" s="9" t="s">
        <v>144</v>
      </c>
      <c r="AM9" s="7">
        <v>43422</v>
      </c>
      <c r="AN9" s="6" t="s">
        <v>90</v>
      </c>
      <c r="AO9" s="6">
        <v>2015</v>
      </c>
      <c r="AP9" s="4"/>
      <c r="AQ9" s="4">
        <v>21</v>
      </c>
      <c r="AR9" s="4"/>
      <c r="AS9" s="4" t="s">
        <v>139</v>
      </c>
      <c r="AT9" s="4" t="s">
        <v>149</v>
      </c>
      <c r="AU9" s="4">
        <v>49610</v>
      </c>
      <c r="AV9" s="4" t="s">
        <v>150</v>
      </c>
      <c r="AW9" s="4"/>
      <c r="AX9" s="4"/>
      <c r="AY9" s="4">
        <v>49222</v>
      </c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5">
        <v>42735</v>
      </c>
      <c r="BT9" s="4" t="s">
        <v>85</v>
      </c>
      <c r="BU9" s="4"/>
      <c r="BV9" s="4"/>
      <c r="BW9" s="4"/>
      <c r="BX9" s="4"/>
      <c r="BY9" s="4" t="s">
        <v>148</v>
      </c>
      <c r="BZ9" s="4" t="s">
        <v>88</v>
      </c>
      <c r="CA9" s="4" t="s">
        <v>89</v>
      </c>
    </row>
    <row r="10" spans="1:79" s="3" customFormat="1" x14ac:dyDescent="0.35">
      <c r="A10" s="2" t="s">
        <v>151</v>
      </c>
      <c r="B10" s="2" t="s">
        <v>152</v>
      </c>
      <c r="C10" s="2" t="s">
        <v>153</v>
      </c>
      <c r="D10" s="2" t="s">
        <v>82</v>
      </c>
      <c r="E10" s="2" t="s">
        <v>146</v>
      </c>
      <c r="F10" s="4"/>
      <c r="G10" s="4"/>
      <c r="H10" s="4" t="s">
        <v>154</v>
      </c>
      <c r="I10" s="5">
        <v>43422</v>
      </c>
      <c r="J10" s="4" t="s">
        <v>84</v>
      </c>
      <c r="K10" s="4">
        <v>7</v>
      </c>
      <c r="L10" s="6" t="s">
        <v>85</v>
      </c>
      <c r="M10" s="6" t="s">
        <v>82</v>
      </c>
      <c r="N10" s="6"/>
      <c r="O10" s="7">
        <v>28491</v>
      </c>
      <c r="P10" s="6">
        <v>1000</v>
      </c>
      <c r="Q10" s="6"/>
      <c r="R10" s="6"/>
      <c r="S10" s="6"/>
      <c r="T10" s="6"/>
      <c r="U10" s="6"/>
      <c r="V10" s="6" t="s">
        <v>155</v>
      </c>
      <c r="W10" s="6" t="s">
        <v>156</v>
      </c>
      <c r="X10" s="6"/>
      <c r="Y10" s="6" t="s">
        <v>157</v>
      </c>
      <c r="Z10" s="6"/>
      <c r="AA10" s="6"/>
      <c r="AB10" s="6"/>
      <c r="AC10" s="6" t="s">
        <v>157</v>
      </c>
      <c r="AD10" s="6"/>
      <c r="AE10" s="6" t="s">
        <v>158</v>
      </c>
      <c r="AF10" s="6" t="s">
        <v>88</v>
      </c>
      <c r="AG10" s="6"/>
      <c r="AH10" s="6"/>
      <c r="AI10" s="6" t="s">
        <v>89</v>
      </c>
      <c r="AJ10" s="6"/>
      <c r="AK10" s="6"/>
      <c r="AL10" s="9" t="s">
        <v>152</v>
      </c>
      <c r="AM10" s="7">
        <v>43404</v>
      </c>
      <c r="AN10" s="6"/>
      <c r="AO10" s="6"/>
      <c r="AP10" s="4" t="s">
        <v>159</v>
      </c>
      <c r="AQ10" s="4">
        <v>264</v>
      </c>
      <c r="AR10" s="4"/>
      <c r="AS10" s="4" t="s">
        <v>139</v>
      </c>
      <c r="AT10" s="4" t="s">
        <v>160</v>
      </c>
      <c r="AU10" s="4">
        <v>34070</v>
      </c>
      <c r="AV10" s="4" t="s">
        <v>161</v>
      </c>
      <c r="AW10" s="4"/>
      <c r="AX10" s="4"/>
      <c r="AY10" s="4">
        <v>34172</v>
      </c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5">
        <v>43405</v>
      </c>
      <c r="BT10" s="4" t="s">
        <v>85</v>
      </c>
      <c r="BU10" s="4"/>
      <c r="BV10" s="4"/>
      <c r="BW10" s="4"/>
      <c r="BX10" s="4" t="s">
        <v>162</v>
      </c>
      <c r="BY10" s="4" t="s">
        <v>158</v>
      </c>
      <c r="BZ10" s="4" t="s">
        <v>88</v>
      </c>
      <c r="CA10" s="4" t="s">
        <v>89</v>
      </c>
    </row>
    <row r="11" spans="1:79" s="3" customFormat="1" x14ac:dyDescent="0.35">
      <c r="A11" s="2" t="s">
        <v>163</v>
      </c>
      <c r="B11" s="2" t="s">
        <v>164</v>
      </c>
      <c r="C11" s="2" t="s">
        <v>165</v>
      </c>
      <c r="D11" s="2" t="s">
        <v>82</v>
      </c>
      <c r="E11" s="2" t="s">
        <v>166</v>
      </c>
      <c r="F11" s="4" t="s">
        <v>99</v>
      </c>
      <c r="G11" s="4"/>
      <c r="H11" s="4"/>
      <c r="I11" s="5">
        <v>43422</v>
      </c>
      <c r="J11" s="4" t="s">
        <v>84</v>
      </c>
      <c r="K11" s="4">
        <v>4</v>
      </c>
      <c r="L11" s="6" t="s">
        <v>167</v>
      </c>
      <c r="M11" s="6" t="s">
        <v>82</v>
      </c>
      <c r="N11" s="6"/>
      <c r="O11" s="7">
        <v>28491</v>
      </c>
      <c r="P11" s="6">
        <v>6540</v>
      </c>
      <c r="Q11" s="6" t="s">
        <v>168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 t="s">
        <v>169</v>
      </c>
      <c r="AF11" s="6" t="s">
        <v>88</v>
      </c>
      <c r="AG11" s="6"/>
      <c r="AH11" s="6"/>
      <c r="AI11" s="6" t="s">
        <v>89</v>
      </c>
      <c r="AJ11" s="6" t="s">
        <v>99</v>
      </c>
      <c r="AK11" s="6"/>
      <c r="AL11" s="9" t="s">
        <v>164</v>
      </c>
      <c r="AM11" s="7">
        <v>43422</v>
      </c>
      <c r="AN11" s="6"/>
      <c r="AO11" s="6"/>
      <c r="AP11" s="4"/>
      <c r="AQ11" s="4">
        <v>27</v>
      </c>
      <c r="AR11" s="4"/>
      <c r="AS11" s="4" t="s">
        <v>139</v>
      </c>
      <c r="AT11" s="4" t="s">
        <v>170</v>
      </c>
      <c r="AU11" s="4">
        <v>49100</v>
      </c>
      <c r="AV11" s="4" t="s">
        <v>171</v>
      </c>
      <c r="AW11" s="4"/>
      <c r="AX11" s="4"/>
      <c r="AY11" s="4">
        <v>49007</v>
      </c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5">
        <v>43183</v>
      </c>
      <c r="BT11" s="4" t="s">
        <v>108</v>
      </c>
      <c r="BU11" s="4"/>
      <c r="BV11" s="4"/>
      <c r="BW11" s="4"/>
      <c r="BX11" s="4"/>
      <c r="BY11" s="4" t="s">
        <v>169</v>
      </c>
      <c r="BZ11" s="4" t="s">
        <v>88</v>
      </c>
      <c r="CA11" s="4" t="s">
        <v>89</v>
      </c>
    </row>
    <row r="12" spans="1:79" s="3" customFormat="1" x14ac:dyDescent="0.35">
      <c r="A12" s="2" t="s">
        <v>172</v>
      </c>
      <c r="B12" s="2" t="s">
        <v>173</v>
      </c>
      <c r="C12" s="2" t="s">
        <v>174</v>
      </c>
      <c r="D12" s="2" t="s">
        <v>82</v>
      </c>
      <c r="E12" s="2" t="s">
        <v>175</v>
      </c>
      <c r="F12" s="4"/>
      <c r="G12" s="4"/>
      <c r="H12" s="4"/>
      <c r="I12" s="5">
        <v>38831</v>
      </c>
      <c r="J12" s="4" t="s">
        <v>100</v>
      </c>
      <c r="K12" s="4">
        <v>5</v>
      </c>
      <c r="L12" s="6" t="s">
        <v>85</v>
      </c>
      <c r="M12" s="6" t="s">
        <v>82</v>
      </c>
      <c r="N12" s="6"/>
      <c r="O12" s="7">
        <v>29623</v>
      </c>
      <c r="P12" s="6">
        <v>5710</v>
      </c>
      <c r="Q12" s="6" t="s">
        <v>176</v>
      </c>
      <c r="R12" s="6"/>
      <c r="S12" s="6" t="s">
        <v>177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 t="s">
        <v>178</v>
      </c>
      <c r="AF12" s="6" t="s">
        <v>88</v>
      </c>
      <c r="AG12" s="6"/>
      <c r="AH12" s="6" t="s">
        <v>89</v>
      </c>
      <c r="AI12" s="6" t="s">
        <v>82</v>
      </c>
      <c r="AJ12" s="6">
        <v>42</v>
      </c>
      <c r="AK12" s="6">
        <v>2016</v>
      </c>
      <c r="AL12" s="9" t="s">
        <v>179</v>
      </c>
      <c r="AM12" s="7">
        <v>43422</v>
      </c>
      <c r="AN12" s="6" t="s">
        <v>104</v>
      </c>
      <c r="AO12" s="6">
        <v>2015</v>
      </c>
      <c r="AP12" s="4"/>
      <c r="AQ12" s="4">
        <v>22</v>
      </c>
      <c r="AR12" s="4"/>
      <c r="AS12" s="4" t="s">
        <v>139</v>
      </c>
      <c r="AT12" s="4" t="s">
        <v>180</v>
      </c>
      <c r="AU12" s="4">
        <v>72100</v>
      </c>
      <c r="AV12" s="4" t="s">
        <v>181</v>
      </c>
      <c r="AW12" s="4"/>
      <c r="AX12" s="4"/>
      <c r="AY12" s="4">
        <v>72181</v>
      </c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5">
        <v>37980</v>
      </c>
      <c r="BT12" s="4" t="s">
        <v>108</v>
      </c>
      <c r="BU12" s="4"/>
      <c r="BV12" s="4"/>
      <c r="BW12" s="4"/>
      <c r="BX12" s="4"/>
      <c r="BY12" s="4" t="s">
        <v>182</v>
      </c>
      <c r="BZ12" s="4" t="s">
        <v>122</v>
      </c>
      <c r="CA12" s="4" t="s">
        <v>89</v>
      </c>
    </row>
    <row r="13" spans="1:79" s="3" customFormat="1" x14ac:dyDescent="0.35">
      <c r="A13" s="2" t="s">
        <v>172</v>
      </c>
      <c r="B13" s="2" t="s">
        <v>183</v>
      </c>
      <c r="C13" s="2" t="s">
        <v>184</v>
      </c>
      <c r="D13" s="2" t="s">
        <v>82</v>
      </c>
      <c r="E13" s="2" t="s">
        <v>185</v>
      </c>
      <c r="F13" s="4" t="s">
        <v>99</v>
      </c>
      <c r="G13" s="4"/>
      <c r="H13" s="4"/>
      <c r="I13" s="5">
        <v>41412</v>
      </c>
      <c r="J13" s="4" t="s">
        <v>100</v>
      </c>
      <c r="K13" s="4">
        <v>6</v>
      </c>
      <c r="L13" s="6" t="s">
        <v>85</v>
      </c>
      <c r="M13" s="6" t="s">
        <v>82</v>
      </c>
      <c r="N13" s="6"/>
      <c r="O13" s="7">
        <v>29623</v>
      </c>
      <c r="P13" s="6">
        <v>5710</v>
      </c>
      <c r="Q13" s="6" t="s">
        <v>176</v>
      </c>
      <c r="R13" s="6"/>
      <c r="S13" s="6" t="s">
        <v>177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 t="s">
        <v>178</v>
      </c>
      <c r="AF13" s="6" t="s">
        <v>88</v>
      </c>
      <c r="AG13" s="6"/>
      <c r="AH13" s="6" t="s">
        <v>89</v>
      </c>
      <c r="AI13" s="6" t="s">
        <v>82</v>
      </c>
      <c r="AJ13" s="6">
        <v>42</v>
      </c>
      <c r="AK13" s="6">
        <v>2016</v>
      </c>
      <c r="AL13" s="9" t="s">
        <v>179</v>
      </c>
      <c r="AM13" s="7">
        <v>43422</v>
      </c>
      <c r="AN13" s="6" t="s">
        <v>104</v>
      </c>
      <c r="AO13" s="6">
        <v>2015</v>
      </c>
      <c r="AP13" s="4" t="s">
        <v>186</v>
      </c>
      <c r="AQ13" s="4"/>
      <c r="AR13" s="4"/>
      <c r="AS13" s="4" t="s">
        <v>139</v>
      </c>
      <c r="AT13" s="4" t="s">
        <v>187</v>
      </c>
      <c r="AU13" s="4">
        <v>41000</v>
      </c>
      <c r="AV13" s="4" t="s">
        <v>188</v>
      </c>
      <c r="AW13" s="4"/>
      <c r="AX13" s="4" t="s">
        <v>189</v>
      </c>
      <c r="AY13" s="4">
        <v>41018</v>
      </c>
      <c r="AZ13" s="4">
        <v>41004</v>
      </c>
      <c r="BA13" s="4" t="s">
        <v>190</v>
      </c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5">
        <v>40816</v>
      </c>
      <c r="BT13" s="4" t="s">
        <v>108</v>
      </c>
      <c r="BU13" s="4" t="s">
        <v>191</v>
      </c>
      <c r="BV13" s="4"/>
      <c r="BW13" s="4"/>
      <c r="BX13" s="4"/>
      <c r="BY13" s="4" t="s">
        <v>178</v>
      </c>
      <c r="BZ13" s="4" t="s">
        <v>88</v>
      </c>
      <c r="CA13" s="4" t="s">
        <v>82</v>
      </c>
    </row>
    <row r="14" spans="1:79" s="3" customFormat="1" x14ac:dyDescent="0.35">
      <c r="A14" s="2" t="s">
        <v>172</v>
      </c>
      <c r="B14" s="2" t="s">
        <v>192</v>
      </c>
      <c r="C14" s="2" t="s">
        <v>193</v>
      </c>
      <c r="D14" s="2" t="s">
        <v>82</v>
      </c>
      <c r="E14" s="2" t="s">
        <v>194</v>
      </c>
      <c r="F14" s="4" t="s">
        <v>99</v>
      </c>
      <c r="G14" s="4"/>
      <c r="H14" s="4"/>
      <c r="I14" s="4"/>
      <c r="J14" s="4" t="s">
        <v>100</v>
      </c>
      <c r="K14" s="4">
        <v>4</v>
      </c>
      <c r="L14" s="6" t="s">
        <v>85</v>
      </c>
      <c r="M14" s="6" t="s">
        <v>82</v>
      </c>
      <c r="N14" s="6"/>
      <c r="O14" s="7">
        <v>29623</v>
      </c>
      <c r="P14" s="6">
        <v>5710</v>
      </c>
      <c r="Q14" s="6" t="s">
        <v>176</v>
      </c>
      <c r="R14" s="6"/>
      <c r="S14" s="6" t="s">
        <v>177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 t="s">
        <v>178</v>
      </c>
      <c r="AF14" s="6" t="s">
        <v>88</v>
      </c>
      <c r="AG14" s="6"/>
      <c r="AH14" s="6" t="s">
        <v>89</v>
      </c>
      <c r="AI14" s="6" t="s">
        <v>82</v>
      </c>
      <c r="AJ14" s="6">
        <v>42</v>
      </c>
      <c r="AK14" s="6">
        <v>2016</v>
      </c>
      <c r="AL14" s="9" t="s">
        <v>179</v>
      </c>
      <c r="AM14" s="7">
        <v>43422</v>
      </c>
      <c r="AN14" s="6" t="s">
        <v>104</v>
      </c>
      <c r="AO14" s="6">
        <v>2015</v>
      </c>
      <c r="AP14" s="4"/>
      <c r="AQ14" s="4">
        <v>40</v>
      </c>
      <c r="AR14" s="4"/>
      <c r="AS14" s="4" t="s">
        <v>139</v>
      </c>
      <c r="AT14" s="4" t="s">
        <v>195</v>
      </c>
      <c r="AU14" s="4">
        <v>69007</v>
      </c>
      <c r="AV14" s="4" t="s">
        <v>196</v>
      </c>
      <c r="AW14" s="4"/>
      <c r="AX14" s="4"/>
      <c r="AY14" s="4">
        <v>69387</v>
      </c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5">
        <v>35424</v>
      </c>
      <c r="BT14" s="4" t="s">
        <v>108</v>
      </c>
      <c r="BU14" s="4"/>
      <c r="BV14" s="4"/>
      <c r="BW14" s="4"/>
      <c r="BX14" s="4"/>
      <c r="BY14" s="4" t="s">
        <v>197</v>
      </c>
      <c r="BZ14" s="4" t="s">
        <v>110</v>
      </c>
      <c r="CA14" s="4" t="s">
        <v>82</v>
      </c>
    </row>
    <row r="15" spans="1:79" s="3" customFormat="1" x14ac:dyDescent="0.35">
      <c r="A15" s="2" t="s">
        <v>172</v>
      </c>
      <c r="B15" s="2" t="s">
        <v>198</v>
      </c>
      <c r="C15" s="2" t="s">
        <v>199</v>
      </c>
      <c r="D15" s="2" t="s">
        <v>82</v>
      </c>
      <c r="E15" s="2" t="s">
        <v>200</v>
      </c>
      <c r="F15" s="4" t="s">
        <v>99</v>
      </c>
      <c r="G15" s="4"/>
      <c r="H15" s="4"/>
      <c r="I15" s="5">
        <v>40286</v>
      </c>
      <c r="J15" s="4" t="s">
        <v>100</v>
      </c>
      <c r="K15" s="4">
        <v>6</v>
      </c>
      <c r="L15" s="6" t="s">
        <v>85</v>
      </c>
      <c r="M15" s="6" t="s">
        <v>82</v>
      </c>
      <c r="N15" s="6"/>
      <c r="O15" s="7">
        <v>29623</v>
      </c>
      <c r="P15" s="6">
        <v>5710</v>
      </c>
      <c r="Q15" s="6" t="s">
        <v>176</v>
      </c>
      <c r="R15" s="6"/>
      <c r="S15" s="6" t="s">
        <v>177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 t="s">
        <v>178</v>
      </c>
      <c r="AF15" s="6" t="s">
        <v>88</v>
      </c>
      <c r="AG15" s="6"/>
      <c r="AH15" s="6" t="s">
        <v>89</v>
      </c>
      <c r="AI15" s="6" t="s">
        <v>82</v>
      </c>
      <c r="AJ15" s="6">
        <v>42</v>
      </c>
      <c r="AK15" s="6">
        <v>2016</v>
      </c>
      <c r="AL15" s="9" t="s">
        <v>179</v>
      </c>
      <c r="AM15" s="7">
        <v>43422</v>
      </c>
      <c r="AN15" s="6" t="s">
        <v>104</v>
      </c>
      <c r="AO15" s="6">
        <v>2015</v>
      </c>
      <c r="AP15" s="4"/>
      <c r="AQ15" s="4">
        <v>2</v>
      </c>
      <c r="AR15" s="4"/>
      <c r="AS15" s="4" t="s">
        <v>139</v>
      </c>
      <c r="AT15" s="4" t="s">
        <v>201</v>
      </c>
      <c r="AU15" s="4">
        <v>28100</v>
      </c>
      <c r="AV15" s="4" t="s">
        <v>202</v>
      </c>
      <c r="AW15" s="4"/>
      <c r="AX15" s="4"/>
      <c r="AY15" s="4">
        <v>28134</v>
      </c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5">
        <v>39721</v>
      </c>
      <c r="BT15" s="4" t="s">
        <v>108</v>
      </c>
      <c r="BU15" s="4" t="s">
        <v>203</v>
      </c>
      <c r="BV15" s="4"/>
      <c r="BW15" s="4"/>
      <c r="BX15" s="4"/>
      <c r="BY15" s="4" t="s">
        <v>178</v>
      </c>
      <c r="BZ15" s="4" t="s">
        <v>88</v>
      </c>
      <c r="CA15" s="4" t="s">
        <v>82</v>
      </c>
    </row>
    <row r="16" spans="1:79" s="3" customFormat="1" x14ac:dyDescent="0.35">
      <c r="A16" s="2" t="s">
        <v>172</v>
      </c>
      <c r="B16" s="2" t="s">
        <v>204</v>
      </c>
      <c r="C16" s="2" t="s">
        <v>205</v>
      </c>
      <c r="D16" s="2" t="s">
        <v>82</v>
      </c>
      <c r="E16" s="2" t="s">
        <v>200</v>
      </c>
      <c r="F16" s="4" t="s">
        <v>99</v>
      </c>
      <c r="G16" s="4"/>
      <c r="H16" s="4"/>
      <c r="I16" s="5">
        <v>41034</v>
      </c>
      <c r="J16" s="4" t="s">
        <v>100</v>
      </c>
      <c r="K16" s="4">
        <v>6</v>
      </c>
      <c r="L16" s="6" t="s">
        <v>85</v>
      </c>
      <c r="M16" s="6" t="s">
        <v>82</v>
      </c>
      <c r="N16" s="6"/>
      <c r="O16" s="7">
        <v>29623</v>
      </c>
      <c r="P16" s="6">
        <v>5710</v>
      </c>
      <c r="Q16" s="6" t="s">
        <v>176</v>
      </c>
      <c r="R16" s="6"/>
      <c r="S16" s="6" t="s">
        <v>177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 t="s">
        <v>178</v>
      </c>
      <c r="AF16" s="6" t="s">
        <v>88</v>
      </c>
      <c r="AG16" s="6"/>
      <c r="AH16" s="6" t="s">
        <v>89</v>
      </c>
      <c r="AI16" s="6" t="s">
        <v>82</v>
      </c>
      <c r="AJ16" s="6">
        <v>42</v>
      </c>
      <c r="AK16" s="6">
        <v>2016</v>
      </c>
      <c r="AL16" s="9" t="s">
        <v>179</v>
      </c>
      <c r="AM16" s="7">
        <v>43422</v>
      </c>
      <c r="AN16" s="6" t="s">
        <v>104</v>
      </c>
      <c r="AO16" s="6">
        <v>2015</v>
      </c>
      <c r="AP16" s="4" t="s">
        <v>206</v>
      </c>
      <c r="AQ16" s="4">
        <v>114</v>
      </c>
      <c r="AR16" s="4"/>
      <c r="AS16" s="4" t="s">
        <v>133</v>
      </c>
      <c r="AT16" s="4" t="s">
        <v>207</v>
      </c>
      <c r="AU16" s="4">
        <v>94600</v>
      </c>
      <c r="AV16" s="4" t="s">
        <v>208</v>
      </c>
      <c r="AW16" s="4"/>
      <c r="AX16" s="4"/>
      <c r="AY16" s="4">
        <v>94022</v>
      </c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5">
        <v>40451</v>
      </c>
      <c r="BT16" s="4" t="s">
        <v>108</v>
      </c>
      <c r="BU16" s="4" t="s">
        <v>203</v>
      </c>
      <c r="BV16" s="4"/>
      <c r="BW16" s="4"/>
      <c r="BX16" s="4"/>
      <c r="BY16" s="4" t="s">
        <v>178</v>
      </c>
      <c r="BZ16" s="4" t="s">
        <v>88</v>
      </c>
      <c r="CA16" s="4" t="s">
        <v>82</v>
      </c>
    </row>
    <row r="17" spans="1:79" s="3" customFormat="1" x14ac:dyDescent="0.35">
      <c r="A17" s="2" t="s">
        <v>172</v>
      </c>
      <c r="B17" s="2" t="s">
        <v>209</v>
      </c>
      <c r="C17" s="2" t="s">
        <v>210</v>
      </c>
      <c r="D17" s="2" t="s">
        <v>82</v>
      </c>
      <c r="E17" s="2" t="s">
        <v>211</v>
      </c>
      <c r="F17" s="4" t="s">
        <v>99</v>
      </c>
      <c r="G17" s="4"/>
      <c r="H17" s="4"/>
      <c r="I17" s="4"/>
      <c r="J17" s="4" t="s">
        <v>100</v>
      </c>
      <c r="K17" s="4">
        <v>4</v>
      </c>
      <c r="L17" s="6" t="s">
        <v>85</v>
      </c>
      <c r="M17" s="6" t="s">
        <v>82</v>
      </c>
      <c r="N17" s="6"/>
      <c r="O17" s="7">
        <v>29623</v>
      </c>
      <c r="P17" s="6">
        <v>5710</v>
      </c>
      <c r="Q17" s="6" t="s">
        <v>176</v>
      </c>
      <c r="R17" s="6"/>
      <c r="S17" s="6" t="s">
        <v>177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 t="s">
        <v>178</v>
      </c>
      <c r="AF17" s="6" t="s">
        <v>88</v>
      </c>
      <c r="AG17" s="6"/>
      <c r="AH17" s="6" t="s">
        <v>89</v>
      </c>
      <c r="AI17" s="6" t="s">
        <v>82</v>
      </c>
      <c r="AJ17" s="6">
        <v>42</v>
      </c>
      <c r="AK17" s="6">
        <v>2016</v>
      </c>
      <c r="AL17" s="9" t="s">
        <v>179</v>
      </c>
      <c r="AM17" s="7">
        <v>43422</v>
      </c>
      <c r="AN17" s="6" t="s">
        <v>104</v>
      </c>
      <c r="AO17" s="6">
        <v>2015</v>
      </c>
      <c r="AP17" s="4" t="s">
        <v>212</v>
      </c>
      <c r="AQ17" s="4">
        <v>218</v>
      </c>
      <c r="AR17" s="4"/>
      <c r="AS17" s="4" t="s">
        <v>213</v>
      </c>
      <c r="AT17" s="4" t="s">
        <v>214</v>
      </c>
      <c r="AU17" s="4">
        <v>95250</v>
      </c>
      <c r="AV17" s="4" t="s">
        <v>215</v>
      </c>
      <c r="AW17" s="4"/>
      <c r="AX17" s="4"/>
      <c r="AY17" s="4">
        <v>95051</v>
      </c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5">
        <v>35795</v>
      </c>
      <c r="BT17" s="4" t="s">
        <v>108</v>
      </c>
      <c r="BU17" s="4"/>
      <c r="BV17" s="4"/>
      <c r="BW17" s="4"/>
      <c r="BX17" s="4"/>
      <c r="BY17" s="4" t="s">
        <v>197</v>
      </c>
      <c r="BZ17" s="4" t="s">
        <v>110</v>
      </c>
      <c r="CA17" s="4" t="s">
        <v>82</v>
      </c>
    </row>
    <row r="18" spans="1:79" s="3" customFormat="1" x14ac:dyDescent="0.35">
      <c r="A18" s="2" t="s">
        <v>172</v>
      </c>
      <c r="B18" s="2" t="s">
        <v>216</v>
      </c>
      <c r="C18" s="2" t="s">
        <v>217</v>
      </c>
      <c r="D18" s="2" t="s">
        <v>82</v>
      </c>
      <c r="E18" s="2" t="s">
        <v>200</v>
      </c>
      <c r="F18" s="4" t="s">
        <v>99</v>
      </c>
      <c r="G18" s="4"/>
      <c r="H18" s="4"/>
      <c r="I18" s="4"/>
      <c r="J18" s="4" t="s">
        <v>100</v>
      </c>
      <c r="K18" s="4">
        <v>4</v>
      </c>
      <c r="L18" s="6" t="s">
        <v>85</v>
      </c>
      <c r="M18" s="6" t="s">
        <v>82</v>
      </c>
      <c r="N18" s="6"/>
      <c r="O18" s="7">
        <v>29623</v>
      </c>
      <c r="P18" s="6">
        <v>5710</v>
      </c>
      <c r="Q18" s="6" t="s">
        <v>176</v>
      </c>
      <c r="R18" s="6"/>
      <c r="S18" s="6" t="s">
        <v>177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 t="s">
        <v>178</v>
      </c>
      <c r="AF18" s="6" t="s">
        <v>88</v>
      </c>
      <c r="AG18" s="6"/>
      <c r="AH18" s="6" t="s">
        <v>89</v>
      </c>
      <c r="AI18" s="6" t="s">
        <v>82</v>
      </c>
      <c r="AJ18" s="6">
        <v>42</v>
      </c>
      <c r="AK18" s="6">
        <v>2016</v>
      </c>
      <c r="AL18" s="9" t="s">
        <v>179</v>
      </c>
      <c r="AM18" s="7">
        <v>43422</v>
      </c>
      <c r="AN18" s="6" t="s">
        <v>104</v>
      </c>
      <c r="AO18" s="6">
        <v>2015</v>
      </c>
      <c r="AP18" s="4"/>
      <c r="AQ18" s="4">
        <v>57</v>
      </c>
      <c r="AR18" s="4"/>
      <c r="AS18" s="4" t="s">
        <v>139</v>
      </c>
      <c r="AT18" s="4" t="s">
        <v>218</v>
      </c>
      <c r="AU18" s="4">
        <v>76600</v>
      </c>
      <c r="AV18" s="4" t="s">
        <v>219</v>
      </c>
      <c r="AW18" s="4"/>
      <c r="AX18" s="4"/>
      <c r="AY18" s="4">
        <v>76351</v>
      </c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5">
        <v>35915</v>
      </c>
      <c r="BT18" s="4" t="s">
        <v>108</v>
      </c>
      <c r="BU18" s="4"/>
      <c r="BV18" s="4"/>
      <c r="BW18" s="4"/>
      <c r="BX18" s="4"/>
      <c r="BY18" s="4" t="s">
        <v>197</v>
      </c>
      <c r="BZ18" s="4" t="s">
        <v>110</v>
      </c>
      <c r="CA18" s="4" t="s">
        <v>82</v>
      </c>
    </row>
    <row r="19" spans="1:79" s="3" customFormat="1" x14ac:dyDescent="0.35">
      <c r="A19" s="2" t="s">
        <v>172</v>
      </c>
      <c r="B19" s="2" t="s">
        <v>220</v>
      </c>
      <c r="C19" s="2" t="s">
        <v>221</v>
      </c>
      <c r="D19" s="2" t="s">
        <v>82</v>
      </c>
      <c r="E19" s="2" t="s">
        <v>200</v>
      </c>
      <c r="F19" s="4" t="s">
        <v>99</v>
      </c>
      <c r="G19" s="4"/>
      <c r="H19" s="4"/>
      <c r="I19" s="4"/>
      <c r="J19" s="4" t="s">
        <v>100</v>
      </c>
      <c r="K19" s="4">
        <v>3</v>
      </c>
      <c r="L19" s="6" t="s">
        <v>85</v>
      </c>
      <c r="M19" s="6" t="s">
        <v>82</v>
      </c>
      <c r="N19" s="6"/>
      <c r="O19" s="7">
        <v>29623</v>
      </c>
      <c r="P19" s="6">
        <v>5710</v>
      </c>
      <c r="Q19" s="6" t="s">
        <v>176</v>
      </c>
      <c r="R19" s="6"/>
      <c r="S19" s="6" t="s">
        <v>177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 t="s">
        <v>178</v>
      </c>
      <c r="AF19" s="6" t="s">
        <v>88</v>
      </c>
      <c r="AG19" s="6"/>
      <c r="AH19" s="6" t="s">
        <v>89</v>
      </c>
      <c r="AI19" s="6" t="s">
        <v>82</v>
      </c>
      <c r="AJ19" s="6">
        <v>42</v>
      </c>
      <c r="AK19" s="6">
        <v>2016</v>
      </c>
      <c r="AL19" s="9" t="s">
        <v>179</v>
      </c>
      <c r="AM19" s="7">
        <v>43422</v>
      </c>
      <c r="AN19" s="6" t="s">
        <v>104</v>
      </c>
      <c r="AO19" s="6">
        <v>2015</v>
      </c>
      <c r="AP19" s="4" t="s">
        <v>222</v>
      </c>
      <c r="AQ19" s="4">
        <v>68</v>
      </c>
      <c r="AR19" s="4"/>
      <c r="AS19" s="4" t="s">
        <v>139</v>
      </c>
      <c r="AT19" s="4" t="s">
        <v>223</v>
      </c>
      <c r="AU19" s="4">
        <v>2200</v>
      </c>
      <c r="AV19" s="4" t="s">
        <v>224</v>
      </c>
      <c r="AW19" s="4"/>
      <c r="AX19" s="4"/>
      <c r="AY19" s="4">
        <v>2064</v>
      </c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5">
        <v>35430</v>
      </c>
      <c r="BT19" s="4" t="s">
        <v>108</v>
      </c>
      <c r="BU19" s="4" t="s">
        <v>203</v>
      </c>
      <c r="BV19" s="4"/>
      <c r="BW19" s="4"/>
      <c r="BX19" s="4"/>
      <c r="BY19" s="4" t="s">
        <v>197</v>
      </c>
      <c r="BZ19" s="4" t="s">
        <v>110</v>
      </c>
      <c r="CA19" s="4" t="s">
        <v>82</v>
      </c>
    </row>
    <row r="20" spans="1:79" s="3" customFormat="1" x14ac:dyDescent="0.35">
      <c r="A20" s="2" t="s">
        <v>172</v>
      </c>
      <c r="B20" s="2" t="s">
        <v>225</v>
      </c>
      <c r="C20" s="2" t="s">
        <v>226</v>
      </c>
      <c r="D20" s="2" t="s">
        <v>82</v>
      </c>
      <c r="E20" s="2" t="s">
        <v>200</v>
      </c>
      <c r="F20" s="4" t="s">
        <v>99</v>
      </c>
      <c r="G20" s="4"/>
      <c r="H20" s="4"/>
      <c r="I20" s="4"/>
      <c r="J20" s="4" t="s">
        <v>100</v>
      </c>
      <c r="K20" s="4">
        <v>4</v>
      </c>
      <c r="L20" s="6" t="s">
        <v>85</v>
      </c>
      <c r="M20" s="6" t="s">
        <v>82</v>
      </c>
      <c r="N20" s="6"/>
      <c r="O20" s="7">
        <v>29623</v>
      </c>
      <c r="P20" s="6">
        <v>5710</v>
      </c>
      <c r="Q20" s="6" t="s">
        <v>176</v>
      </c>
      <c r="R20" s="6"/>
      <c r="S20" s="6" t="s">
        <v>177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 t="s">
        <v>178</v>
      </c>
      <c r="AF20" s="6" t="s">
        <v>88</v>
      </c>
      <c r="AG20" s="6"/>
      <c r="AH20" s="6" t="s">
        <v>89</v>
      </c>
      <c r="AI20" s="6" t="s">
        <v>82</v>
      </c>
      <c r="AJ20" s="6">
        <v>42</v>
      </c>
      <c r="AK20" s="6">
        <v>2016</v>
      </c>
      <c r="AL20" s="9" t="s">
        <v>179</v>
      </c>
      <c r="AM20" s="7">
        <v>43422</v>
      </c>
      <c r="AN20" s="6" t="s">
        <v>104</v>
      </c>
      <c r="AO20" s="6">
        <v>2015</v>
      </c>
      <c r="AP20" s="4"/>
      <c r="AQ20" s="4">
        <v>2</v>
      </c>
      <c r="AR20" s="4"/>
      <c r="AS20" s="4" t="s">
        <v>139</v>
      </c>
      <c r="AT20" s="4" t="s">
        <v>227</v>
      </c>
      <c r="AU20" s="4">
        <v>69120</v>
      </c>
      <c r="AV20" s="4" t="s">
        <v>228</v>
      </c>
      <c r="AW20" s="4"/>
      <c r="AX20" s="4"/>
      <c r="AY20" s="4">
        <v>69256</v>
      </c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5">
        <v>36191</v>
      </c>
      <c r="BT20" s="4" t="s">
        <v>108</v>
      </c>
      <c r="BU20" s="4" t="s">
        <v>229</v>
      </c>
      <c r="BV20" s="4"/>
      <c r="BW20" s="4"/>
      <c r="BX20" s="4"/>
      <c r="BY20" s="4" t="s">
        <v>197</v>
      </c>
      <c r="BZ20" s="4" t="s">
        <v>110</v>
      </c>
      <c r="CA20" s="4" t="s">
        <v>82</v>
      </c>
    </row>
    <row r="21" spans="1:79" s="3" customFormat="1" x14ac:dyDescent="0.35">
      <c r="A21" s="2" t="s">
        <v>172</v>
      </c>
      <c r="B21" s="2" t="s">
        <v>230</v>
      </c>
      <c r="C21" s="2" t="s">
        <v>231</v>
      </c>
      <c r="D21" s="2" t="s">
        <v>82</v>
      </c>
      <c r="E21" s="2" t="s">
        <v>200</v>
      </c>
      <c r="F21" s="4" t="s">
        <v>99</v>
      </c>
      <c r="G21" s="4"/>
      <c r="H21" s="4"/>
      <c r="I21" s="4"/>
      <c r="J21" s="4" t="s">
        <v>100</v>
      </c>
      <c r="K21" s="4">
        <v>4</v>
      </c>
      <c r="L21" s="6" t="s">
        <v>85</v>
      </c>
      <c r="M21" s="6" t="s">
        <v>82</v>
      </c>
      <c r="N21" s="6"/>
      <c r="O21" s="7">
        <v>29623</v>
      </c>
      <c r="P21" s="6">
        <v>5710</v>
      </c>
      <c r="Q21" s="6" t="s">
        <v>176</v>
      </c>
      <c r="R21" s="6"/>
      <c r="S21" s="6" t="s">
        <v>177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 t="s">
        <v>178</v>
      </c>
      <c r="AF21" s="6" t="s">
        <v>88</v>
      </c>
      <c r="AG21" s="6"/>
      <c r="AH21" s="6" t="s">
        <v>89</v>
      </c>
      <c r="AI21" s="6" t="s">
        <v>82</v>
      </c>
      <c r="AJ21" s="6">
        <v>42</v>
      </c>
      <c r="AK21" s="6">
        <v>2016</v>
      </c>
      <c r="AL21" s="9" t="s">
        <v>179</v>
      </c>
      <c r="AM21" s="7">
        <v>43422</v>
      </c>
      <c r="AN21" s="6" t="s">
        <v>104</v>
      </c>
      <c r="AO21" s="6">
        <v>2015</v>
      </c>
      <c r="AP21" s="4"/>
      <c r="AQ21" s="4">
        <v>1</v>
      </c>
      <c r="AR21" s="4"/>
      <c r="AS21" s="4" t="s">
        <v>139</v>
      </c>
      <c r="AT21" s="4" t="s">
        <v>232</v>
      </c>
      <c r="AU21" s="4">
        <v>44300</v>
      </c>
      <c r="AV21" s="4" t="s">
        <v>233</v>
      </c>
      <c r="AW21" s="4"/>
      <c r="AX21" s="4"/>
      <c r="AY21" s="4">
        <v>44109</v>
      </c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5">
        <v>37257</v>
      </c>
      <c r="BT21" s="4" t="s">
        <v>108</v>
      </c>
      <c r="BU21" s="4"/>
      <c r="BV21" s="4"/>
      <c r="BW21" s="4"/>
      <c r="BX21" s="4"/>
      <c r="BY21" s="4" t="s">
        <v>197</v>
      </c>
      <c r="BZ21" s="4" t="s">
        <v>110</v>
      </c>
      <c r="CA21" s="4" t="s">
        <v>82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D1" workbookViewId="0">
      <selection activeCell="H2" sqref="H2:H49"/>
    </sheetView>
  </sheetViews>
  <sheetFormatPr baseColWidth="10" defaultRowHeight="14.5" x14ac:dyDescent="0.35"/>
  <cols>
    <col min="1" max="1" width="39.81640625" bestFit="1" customWidth="1"/>
    <col min="2" max="2" width="73.81640625" bestFit="1" customWidth="1"/>
    <col min="3" max="3" width="8.54296875" bestFit="1" customWidth="1"/>
    <col min="4" max="4" width="12.453125" bestFit="1" customWidth="1"/>
    <col min="5" max="5" width="5.7265625" bestFit="1" customWidth="1"/>
    <col min="7" max="7" width="44.54296875" bestFit="1" customWidth="1"/>
  </cols>
  <sheetData>
    <row r="1" spans="1:8" x14ac:dyDescent="0.35">
      <c r="A1" t="s">
        <v>234</v>
      </c>
      <c r="B1" t="s">
        <v>235</v>
      </c>
      <c r="C1" t="s">
        <v>236</v>
      </c>
      <c r="D1" t="s">
        <v>237</v>
      </c>
      <c r="E1" t="s">
        <v>238</v>
      </c>
    </row>
    <row r="2" spans="1:8" x14ac:dyDescent="0.35">
      <c r="A2" t="s">
        <v>0</v>
      </c>
      <c r="B2" t="s">
        <v>239</v>
      </c>
      <c r="C2">
        <v>9</v>
      </c>
      <c r="D2" t="s">
        <v>240</v>
      </c>
      <c r="E2">
        <v>1</v>
      </c>
      <c r="G2" t="str">
        <f>CONCATENATE("'",A2,"',")</f>
        <v>'siren',</v>
      </c>
      <c r="H2" t="str">
        <f>CONCATENATE(A2,",")</f>
        <v>siren,</v>
      </c>
    </row>
    <row r="3" spans="1:8" x14ac:dyDescent="0.35">
      <c r="A3" t="s">
        <v>1</v>
      </c>
      <c r="B3" t="s">
        <v>241</v>
      </c>
      <c r="C3">
        <v>5</v>
      </c>
      <c r="D3" t="s">
        <v>240</v>
      </c>
      <c r="E3">
        <v>2</v>
      </c>
      <c r="G3" t="str">
        <f t="shared" ref="G3:G49" si="0">CONCATENATE("'",A3,"',")</f>
        <v>'nic',</v>
      </c>
      <c r="H3" t="str">
        <f t="shared" ref="H3:H49" si="1">CONCATENATE(A3,",")</f>
        <v>nic,</v>
      </c>
    </row>
    <row r="4" spans="1:8" x14ac:dyDescent="0.35">
      <c r="A4" t="s">
        <v>2</v>
      </c>
      <c r="B4" t="s">
        <v>242</v>
      </c>
      <c r="C4">
        <v>14</v>
      </c>
      <c r="D4" t="s">
        <v>240</v>
      </c>
      <c r="E4">
        <v>3</v>
      </c>
      <c r="G4" t="str">
        <f t="shared" si="0"/>
        <v>'siret',</v>
      </c>
      <c r="H4" t="str">
        <f t="shared" si="1"/>
        <v>siret,</v>
      </c>
    </row>
    <row r="5" spans="1:8" x14ac:dyDescent="0.35">
      <c r="A5" t="s">
        <v>3</v>
      </c>
      <c r="B5" t="s">
        <v>243</v>
      </c>
      <c r="C5">
        <v>1</v>
      </c>
      <c r="D5" t="s">
        <v>244</v>
      </c>
      <c r="E5">
        <v>4</v>
      </c>
      <c r="G5" t="str">
        <f t="shared" si="0"/>
        <v>'statutDiffusionEtablissement',</v>
      </c>
      <c r="H5" t="str">
        <f t="shared" si="1"/>
        <v>statutDiffusionEtablissement,</v>
      </c>
    </row>
    <row r="6" spans="1:8" x14ac:dyDescent="0.35">
      <c r="A6" t="s">
        <v>4</v>
      </c>
      <c r="B6" t="s">
        <v>245</v>
      </c>
      <c r="C6">
        <v>10</v>
      </c>
      <c r="D6" t="s">
        <v>246</v>
      </c>
      <c r="E6">
        <v>5</v>
      </c>
      <c r="G6" t="str">
        <f t="shared" si="0"/>
        <v>'dateCreationEtablissement',</v>
      </c>
      <c r="H6" t="str">
        <f t="shared" si="1"/>
        <v>dateCreationEtablissement,</v>
      </c>
    </row>
    <row r="7" spans="1:8" x14ac:dyDescent="0.35">
      <c r="A7" t="s">
        <v>5</v>
      </c>
      <c r="B7" t="s">
        <v>247</v>
      </c>
      <c r="C7">
        <v>2</v>
      </c>
      <c r="D7" t="s">
        <v>244</v>
      </c>
      <c r="E7">
        <v>6</v>
      </c>
      <c r="G7" t="str">
        <f t="shared" si="0"/>
        <v>'trancheEffectifsEtablissement',</v>
      </c>
      <c r="H7" t="str">
        <f t="shared" si="1"/>
        <v>trancheEffectifsEtablissement,</v>
      </c>
    </row>
    <row r="8" spans="1:8" x14ac:dyDescent="0.35">
      <c r="A8" t="s">
        <v>6</v>
      </c>
      <c r="B8" t="s">
        <v>248</v>
      </c>
      <c r="C8">
        <v>4</v>
      </c>
      <c r="D8" t="s">
        <v>246</v>
      </c>
      <c r="E8">
        <v>7</v>
      </c>
      <c r="G8" t="str">
        <f t="shared" si="0"/>
        <v>'anneeEffectifsEtablissement',</v>
      </c>
      <c r="H8" t="str">
        <f t="shared" si="1"/>
        <v>anneeEffectifsEtablissement,</v>
      </c>
    </row>
    <row r="9" spans="1:8" x14ac:dyDescent="0.35">
      <c r="A9" t="s">
        <v>7</v>
      </c>
      <c r="B9" t="s">
        <v>249</v>
      </c>
      <c r="C9">
        <v>6</v>
      </c>
      <c r="D9" t="s">
        <v>244</v>
      </c>
      <c r="E9">
        <v>8</v>
      </c>
      <c r="G9" t="str">
        <f t="shared" si="0"/>
        <v>'activitePrincipaleRegistreMetiersEtablissement',</v>
      </c>
      <c r="H9" t="str">
        <f t="shared" si="1"/>
        <v>activitePrincipaleRegistreMetiersEtablissement,</v>
      </c>
    </row>
    <row r="10" spans="1:8" x14ac:dyDescent="0.35">
      <c r="A10" t="s">
        <v>8</v>
      </c>
      <c r="B10" t="s">
        <v>250</v>
      </c>
      <c r="C10">
        <v>10</v>
      </c>
      <c r="D10" t="s">
        <v>246</v>
      </c>
      <c r="E10">
        <v>9</v>
      </c>
      <c r="G10" t="str">
        <f t="shared" si="0"/>
        <v>'dateDernierTraitementEtablissement',</v>
      </c>
      <c r="H10" t="str">
        <f t="shared" si="1"/>
        <v>dateDernierTraitementEtablissement,</v>
      </c>
    </row>
    <row r="11" spans="1:8" x14ac:dyDescent="0.35">
      <c r="A11" t="s">
        <v>9</v>
      </c>
      <c r="B11" t="s">
        <v>251</v>
      </c>
      <c r="C11">
        <v>5</v>
      </c>
      <c r="D11" t="s">
        <v>240</v>
      </c>
      <c r="E11">
        <v>10</v>
      </c>
      <c r="G11" t="str">
        <f t="shared" si="0"/>
        <v>'etablissementSiege',</v>
      </c>
      <c r="H11" t="str">
        <f t="shared" si="1"/>
        <v>etablissementSiege,</v>
      </c>
    </row>
    <row r="12" spans="1:8" x14ac:dyDescent="0.35">
      <c r="A12" t="s">
        <v>10</v>
      </c>
      <c r="B12" t="s">
        <v>252</v>
      </c>
      <c r="C12">
        <v>2</v>
      </c>
      <c r="D12" t="s">
        <v>253</v>
      </c>
      <c r="E12">
        <v>11</v>
      </c>
      <c r="G12" t="str">
        <f t="shared" si="0"/>
        <v>'nombrePeriodesEtablissement',</v>
      </c>
      <c r="H12" t="str">
        <f t="shared" si="1"/>
        <v>nombrePeriodesEtablissement,</v>
      </c>
    </row>
    <row r="13" spans="1:8" x14ac:dyDescent="0.35">
      <c r="A13" t="s">
        <v>41</v>
      </c>
      <c r="B13" t="s">
        <v>254</v>
      </c>
      <c r="C13">
        <v>38</v>
      </c>
      <c r="D13" t="s">
        <v>240</v>
      </c>
      <c r="E13">
        <v>12</v>
      </c>
      <c r="G13" t="str">
        <f t="shared" si="0"/>
        <v>'complementAdresseEtablissement',</v>
      </c>
      <c r="H13" t="str">
        <f t="shared" si="1"/>
        <v>complementAdresseEtablissement,</v>
      </c>
    </row>
    <row r="14" spans="1:8" x14ac:dyDescent="0.35">
      <c r="A14" t="s">
        <v>42</v>
      </c>
      <c r="B14" t="s">
        <v>255</v>
      </c>
      <c r="C14">
        <v>4</v>
      </c>
      <c r="D14" t="s">
        <v>253</v>
      </c>
      <c r="E14">
        <v>13</v>
      </c>
      <c r="G14" t="str">
        <f t="shared" si="0"/>
        <v>'numeroVoieEtablissement',</v>
      </c>
      <c r="H14" t="str">
        <f t="shared" si="1"/>
        <v>numeroVoieEtablissement,</v>
      </c>
    </row>
    <row r="15" spans="1:8" x14ac:dyDescent="0.35">
      <c r="A15" t="s">
        <v>43</v>
      </c>
      <c r="B15" t="s">
        <v>256</v>
      </c>
      <c r="C15">
        <v>1</v>
      </c>
      <c r="D15" t="s">
        <v>240</v>
      </c>
      <c r="E15">
        <v>14</v>
      </c>
      <c r="G15" t="str">
        <f t="shared" si="0"/>
        <v>'indiceRepetitionEtablissement',</v>
      </c>
      <c r="H15" t="str">
        <f t="shared" si="1"/>
        <v>indiceRepetitionEtablissement,</v>
      </c>
    </row>
    <row r="16" spans="1:8" x14ac:dyDescent="0.35">
      <c r="A16" t="s">
        <v>44</v>
      </c>
      <c r="B16" t="s">
        <v>257</v>
      </c>
      <c r="C16">
        <v>4</v>
      </c>
      <c r="D16" t="s">
        <v>244</v>
      </c>
      <c r="E16">
        <v>15</v>
      </c>
      <c r="G16" t="str">
        <f t="shared" si="0"/>
        <v>'typeVoieEtablissement',</v>
      </c>
      <c r="H16" t="str">
        <f t="shared" si="1"/>
        <v>typeVoieEtablissement,</v>
      </c>
    </row>
    <row r="17" spans="1:8" x14ac:dyDescent="0.35">
      <c r="A17" t="s">
        <v>45</v>
      </c>
      <c r="B17" t="s">
        <v>258</v>
      </c>
      <c r="C17">
        <v>100</v>
      </c>
      <c r="D17" t="s">
        <v>240</v>
      </c>
      <c r="E17">
        <v>16</v>
      </c>
      <c r="G17" t="str">
        <f t="shared" si="0"/>
        <v>'libelleVoieEtablissement',</v>
      </c>
      <c r="H17" t="str">
        <f t="shared" si="1"/>
        <v>libelleVoieEtablissement,</v>
      </c>
    </row>
    <row r="18" spans="1:8" x14ac:dyDescent="0.35">
      <c r="A18" t="s">
        <v>46</v>
      </c>
      <c r="B18" t="s">
        <v>259</v>
      </c>
      <c r="C18">
        <v>5</v>
      </c>
      <c r="D18" t="s">
        <v>240</v>
      </c>
      <c r="E18">
        <v>17</v>
      </c>
      <c r="G18" t="str">
        <f t="shared" si="0"/>
        <v>'codePostalEtablissement',</v>
      </c>
      <c r="H18" t="str">
        <f t="shared" si="1"/>
        <v>codePostalEtablissement,</v>
      </c>
    </row>
    <row r="19" spans="1:8" x14ac:dyDescent="0.35">
      <c r="A19" t="s">
        <v>47</v>
      </c>
      <c r="B19" t="s">
        <v>260</v>
      </c>
      <c r="C19">
        <v>100</v>
      </c>
      <c r="D19" t="s">
        <v>240</v>
      </c>
      <c r="E19">
        <v>18</v>
      </c>
      <c r="G19" t="str">
        <f t="shared" si="0"/>
        <v>'libelleCommuneEtablissement',</v>
      </c>
      <c r="H19" t="str">
        <f t="shared" si="1"/>
        <v>libelleCommuneEtablissement,</v>
      </c>
    </row>
    <row r="20" spans="1:8" x14ac:dyDescent="0.35">
      <c r="A20" t="s">
        <v>48</v>
      </c>
      <c r="B20" t="s">
        <v>261</v>
      </c>
      <c r="C20">
        <v>100</v>
      </c>
      <c r="D20" t="s">
        <v>240</v>
      </c>
      <c r="E20">
        <v>19</v>
      </c>
      <c r="G20" t="str">
        <f t="shared" si="0"/>
        <v>'libelleCommuneEtrangerEtablissement',</v>
      </c>
      <c r="H20" t="str">
        <f t="shared" si="1"/>
        <v>libelleCommuneEtrangerEtablissement,</v>
      </c>
    </row>
    <row r="21" spans="1:8" x14ac:dyDescent="0.35">
      <c r="A21" t="s">
        <v>49</v>
      </c>
      <c r="B21" t="s">
        <v>262</v>
      </c>
      <c r="C21">
        <v>26</v>
      </c>
      <c r="D21" t="s">
        <v>240</v>
      </c>
      <c r="E21">
        <v>20</v>
      </c>
      <c r="G21" t="str">
        <f t="shared" si="0"/>
        <v>'distributionSpecialeEtablissement',</v>
      </c>
      <c r="H21" t="str">
        <f t="shared" si="1"/>
        <v>distributionSpecialeEtablissement,</v>
      </c>
    </row>
    <row r="22" spans="1:8" x14ac:dyDescent="0.35">
      <c r="A22" t="s">
        <v>50</v>
      </c>
      <c r="B22" t="s">
        <v>263</v>
      </c>
      <c r="C22">
        <v>5</v>
      </c>
      <c r="D22" t="s">
        <v>244</v>
      </c>
      <c r="E22">
        <v>21</v>
      </c>
      <c r="G22" t="str">
        <f t="shared" si="0"/>
        <v>'codeCommuneEtablissement',</v>
      </c>
      <c r="H22" t="str">
        <f t="shared" si="1"/>
        <v>codeCommuneEtablissement,</v>
      </c>
    </row>
    <row r="23" spans="1:8" x14ac:dyDescent="0.35">
      <c r="A23" t="s">
        <v>51</v>
      </c>
      <c r="B23" t="s">
        <v>264</v>
      </c>
      <c r="C23">
        <v>9</v>
      </c>
      <c r="D23" t="s">
        <v>240</v>
      </c>
      <c r="E23">
        <v>22</v>
      </c>
      <c r="G23" t="str">
        <f t="shared" si="0"/>
        <v>'codeCedexEtablissement',</v>
      </c>
      <c r="H23" t="str">
        <f t="shared" si="1"/>
        <v>codeCedexEtablissement,</v>
      </c>
    </row>
    <row r="24" spans="1:8" x14ac:dyDescent="0.35">
      <c r="A24" t="s">
        <v>52</v>
      </c>
      <c r="B24" t="s">
        <v>265</v>
      </c>
      <c r="C24">
        <v>100</v>
      </c>
      <c r="D24" t="s">
        <v>240</v>
      </c>
      <c r="E24">
        <v>23</v>
      </c>
      <c r="G24" t="str">
        <f t="shared" si="0"/>
        <v>'libelleCedexEtablissement',</v>
      </c>
      <c r="H24" t="str">
        <f t="shared" si="1"/>
        <v>libelleCedexEtablissement,</v>
      </c>
    </row>
    <row r="25" spans="1:8" x14ac:dyDescent="0.35">
      <c r="A25" t="s">
        <v>53</v>
      </c>
      <c r="B25" t="s">
        <v>266</v>
      </c>
      <c r="C25">
        <v>5</v>
      </c>
      <c r="D25" t="s">
        <v>244</v>
      </c>
      <c r="E25">
        <v>24</v>
      </c>
      <c r="G25" t="str">
        <f t="shared" si="0"/>
        <v>'codePaysEtrangerEtablissement',</v>
      </c>
      <c r="H25" t="str">
        <f t="shared" si="1"/>
        <v>codePaysEtrangerEtablissement,</v>
      </c>
    </row>
    <row r="26" spans="1:8" x14ac:dyDescent="0.35">
      <c r="A26" t="s">
        <v>54</v>
      </c>
      <c r="B26" t="s">
        <v>267</v>
      </c>
      <c r="C26">
        <v>100</v>
      </c>
      <c r="D26" t="s">
        <v>240</v>
      </c>
      <c r="E26">
        <v>25</v>
      </c>
      <c r="G26" t="str">
        <f t="shared" si="0"/>
        <v>'libellePaysEtrangerEtablissement',</v>
      </c>
      <c r="H26" t="str">
        <f t="shared" si="1"/>
        <v>libellePaysEtrangerEtablissement,</v>
      </c>
    </row>
    <row r="27" spans="1:8" x14ac:dyDescent="0.35">
      <c r="A27" t="s">
        <v>55</v>
      </c>
      <c r="B27" t="s">
        <v>268</v>
      </c>
      <c r="C27">
        <v>38</v>
      </c>
      <c r="D27" t="s">
        <v>240</v>
      </c>
      <c r="E27">
        <v>26</v>
      </c>
      <c r="G27" t="str">
        <f t="shared" si="0"/>
        <v>'complementAdresse2Etablissement',</v>
      </c>
      <c r="H27" t="str">
        <f t="shared" si="1"/>
        <v>complementAdresse2Etablissement,</v>
      </c>
    </row>
    <row r="28" spans="1:8" x14ac:dyDescent="0.35">
      <c r="A28" t="s">
        <v>56</v>
      </c>
      <c r="B28" t="s">
        <v>269</v>
      </c>
      <c r="C28">
        <v>4</v>
      </c>
      <c r="D28" t="s">
        <v>253</v>
      </c>
      <c r="E28">
        <v>27</v>
      </c>
      <c r="G28" t="str">
        <f t="shared" si="0"/>
        <v>'numeroVoie2Etablissement',</v>
      </c>
      <c r="H28" t="str">
        <f t="shared" si="1"/>
        <v>numeroVoie2Etablissement,</v>
      </c>
    </row>
    <row r="29" spans="1:8" x14ac:dyDescent="0.35">
      <c r="A29" t="s">
        <v>57</v>
      </c>
      <c r="B29" t="s">
        <v>270</v>
      </c>
      <c r="C29">
        <v>1</v>
      </c>
      <c r="D29" t="s">
        <v>240</v>
      </c>
      <c r="E29">
        <v>28</v>
      </c>
      <c r="G29" t="str">
        <f t="shared" si="0"/>
        <v>'indiceRepetition2Etablissement',</v>
      </c>
      <c r="H29" t="str">
        <f t="shared" si="1"/>
        <v>indiceRepetition2Etablissement,</v>
      </c>
    </row>
    <row r="30" spans="1:8" x14ac:dyDescent="0.35">
      <c r="A30" t="s">
        <v>58</v>
      </c>
      <c r="B30" t="s">
        <v>271</v>
      </c>
      <c r="C30">
        <v>4</v>
      </c>
      <c r="D30" t="s">
        <v>244</v>
      </c>
      <c r="E30">
        <v>29</v>
      </c>
      <c r="G30" t="str">
        <f t="shared" si="0"/>
        <v>'typeVoie2Etablissement',</v>
      </c>
      <c r="H30" t="str">
        <f t="shared" si="1"/>
        <v>typeVoie2Etablissement,</v>
      </c>
    </row>
    <row r="31" spans="1:8" x14ac:dyDescent="0.35">
      <c r="A31" t="s">
        <v>59</v>
      </c>
      <c r="B31" t="s">
        <v>272</v>
      </c>
      <c r="C31">
        <v>100</v>
      </c>
      <c r="D31" t="s">
        <v>240</v>
      </c>
      <c r="E31">
        <v>30</v>
      </c>
      <c r="G31" t="str">
        <f t="shared" si="0"/>
        <v>'libelleVoie2Etablissement',</v>
      </c>
      <c r="H31" t="str">
        <f t="shared" si="1"/>
        <v>libelleVoie2Etablissement,</v>
      </c>
    </row>
    <row r="32" spans="1:8" x14ac:dyDescent="0.35">
      <c r="A32" t="s">
        <v>60</v>
      </c>
      <c r="B32" t="s">
        <v>273</v>
      </c>
      <c r="C32">
        <v>5</v>
      </c>
      <c r="D32" t="s">
        <v>240</v>
      </c>
      <c r="E32">
        <v>31</v>
      </c>
      <c r="G32" t="str">
        <f t="shared" si="0"/>
        <v>'codePostal2Etablissement',</v>
      </c>
      <c r="H32" t="str">
        <f t="shared" si="1"/>
        <v>codePostal2Etablissement,</v>
      </c>
    </row>
    <row r="33" spans="1:8" x14ac:dyDescent="0.35">
      <c r="A33" t="s">
        <v>61</v>
      </c>
      <c r="B33" t="s">
        <v>274</v>
      </c>
      <c r="C33">
        <v>100</v>
      </c>
      <c r="D33" t="s">
        <v>240</v>
      </c>
      <c r="E33">
        <v>32</v>
      </c>
      <c r="G33" t="str">
        <f t="shared" si="0"/>
        <v>'libelleCommune2Etablissement',</v>
      </c>
      <c r="H33" t="str">
        <f t="shared" si="1"/>
        <v>libelleCommune2Etablissement,</v>
      </c>
    </row>
    <row r="34" spans="1:8" x14ac:dyDescent="0.35">
      <c r="A34" t="s">
        <v>62</v>
      </c>
      <c r="B34" t="s">
        <v>275</v>
      </c>
      <c r="C34">
        <v>100</v>
      </c>
      <c r="D34" t="s">
        <v>240</v>
      </c>
      <c r="E34">
        <v>33</v>
      </c>
      <c r="G34" t="str">
        <f t="shared" si="0"/>
        <v>'libelleCommuneEtranger2Etablissement',</v>
      </c>
      <c r="H34" t="str">
        <f t="shared" si="1"/>
        <v>libelleCommuneEtranger2Etablissement,</v>
      </c>
    </row>
    <row r="35" spans="1:8" x14ac:dyDescent="0.35">
      <c r="A35" t="s">
        <v>63</v>
      </c>
      <c r="B35" t="s">
        <v>276</v>
      </c>
      <c r="C35">
        <v>26</v>
      </c>
      <c r="D35" t="s">
        <v>240</v>
      </c>
      <c r="E35">
        <v>34</v>
      </c>
      <c r="G35" t="str">
        <f t="shared" si="0"/>
        <v>'distributionSpeciale2Etablissement',</v>
      </c>
      <c r="H35" t="str">
        <f t="shared" si="1"/>
        <v>distributionSpeciale2Etablissement,</v>
      </c>
    </row>
    <row r="36" spans="1:8" x14ac:dyDescent="0.35">
      <c r="A36" t="s">
        <v>64</v>
      </c>
      <c r="B36" t="s">
        <v>277</v>
      </c>
      <c r="C36">
        <v>5</v>
      </c>
      <c r="D36" t="s">
        <v>244</v>
      </c>
      <c r="E36">
        <v>35</v>
      </c>
      <c r="G36" t="str">
        <f t="shared" si="0"/>
        <v>'codeCommune2Etablissement',</v>
      </c>
      <c r="H36" t="str">
        <f t="shared" si="1"/>
        <v>codeCommune2Etablissement,</v>
      </c>
    </row>
    <row r="37" spans="1:8" x14ac:dyDescent="0.35">
      <c r="A37" t="s">
        <v>65</v>
      </c>
      <c r="B37" t="s">
        <v>278</v>
      </c>
      <c r="C37">
        <v>9</v>
      </c>
      <c r="D37" t="s">
        <v>240</v>
      </c>
      <c r="E37">
        <v>36</v>
      </c>
      <c r="G37" t="str">
        <f t="shared" si="0"/>
        <v>'codeCedex2Etablissement',</v>
      </c>
      <c r="H37" t="str">
        <f t="shared" si="1"/>
        <v>codeCedex2Etablissement,</v>
      </c>
    </row>
    <row r="38" spans="1:8" x14ac:dyDescent="0.35">
      <c r="A38" t="s">
        <v>66</v>
      </c>
      <c r="B38" t="s">
        <v>279</v>
      </c>
      <c r="C38">
        <v>100</v>
      </c>
      <c r="D38" t="s">
        <v>240</v>
      </c>
      <c r="E38">
        <v>37</v>
      </c>
      <c r="G38" t="str">
        <f t="shared" si="0"/>
        <v>'libelleCedex2Etablissement',</v>
      </c>
      <c r="H38" t="str">
        <f t="shared" si="1"/>
        <v>libelleCedex2Etablissement,</v>
      </c>
    </row>
    <row r="39" spans="1:8" x14ac:dyDescent="0.35">
      <c r="A39" t="s">
        <v>67</v>
      </c>
      <c r="B39" t="s">
        <v>280</v>
      </c>
      <c r="C39">
        <v>5</v>
      </c>
      <c r="D39" t="s">
        <v>244</v>
      </c>
      <c r="E39">
        <v>38</v>
      </c>
      <c r="G39" t="str">
        <f t="shared" si="0"/>
        <v>'codePaysEtranger2Etablissement',</v>
      </c>
      <c r="H39" t="str">
        <f t="shared" si="1"/>
        <v>codePaysEtranger2Etablissement,</v>
      </c>
    </row>
    <row r="40" spans="1:8" x14ac:dyDescent="0.35">
      <c r="A40" t="s">
        <v>68</v>
      </c>
      <c r="B40" t="s">
        <v>281</v>
      </c>
      <c r="C40">
        <v>100</v>
      </c>
      <c r="D40" t="s">
        <v>240</v>
      </c>
      <c r="E40">
        <v>39</v>
      </c>
      <c r="G40" t="str">
        <f t="shared" si="0"/>
        <v>'libellePaysEtranger2Etablissement',</v>
      </c>
      <c r="H40" t="str">
        <f t="shared" si="1"/>
        <v>libellePaysEtranger2Etablissement,</v>
      </c>
    </row>
    <row r="41" spans="1:8" x14ac:dyDescent="0.35">
      <c r="A41" t="s">
        <v>70</v>
      </c>
      <c r="B41" t="s">
        <v>282</v>
      </c>
      <c r="C41">
        <v>10</v>
      </c>
      <c r="D41" t="s">
        <v>246</v>
      </c>
      <c r="E41">
        <v>40</v>
      </c>
      <c r="G41" t="str">
        <f t="shared" si="0"/>
        <v>'dateDebut',</v>
      </c>
      <c r="H41" t="str">
        <f t="shared" si="1"/>
        <v>dateDebut,</v>
      </c>
    </row>
    <row r="42" spans="1:8" x14ac:dyDescent="0.35">
      <c r="A42" t="s">
        <v>71</v>
      </c>
      <c r="B42" t="s">
        <v>283</v>
      </c>
      <c r="C42">
        <v>1</v>
      </c>
      <c r="D42" t="s">
        <v>244</v>
      </c>
      <c r="E42">
        <v>41</v>
      </c>
      <c r="G42" t="str">
        <f t="shared" si="0"/>
        <v>'etatAdministratifEtablissement',</v>
      </c>
      <c r="H42" t="str">
        <f t="shared" si="1"/>
        <v>etatAdministratifEtablissement,</v>
      </c>
    </row>
    <row r="43" spans="1:8" x14ac:dyDescent="0.35">
      <c r="A43" t="s">
        <v>72</v>
      </c>
      <c r="B43" t="s">
        <v>284</v>
      </c>
      <c r="C43">
        <v>50</v>
      </c>
      <c r="D43" t="s">
        <v>240</v>
      </c>
      <c r="E43">
        <v>42</v>
      </c>
      <c r="G43" t="str">
        <f t="shared" si="0"/>
        <v>'enseigne1Etablissement',</v>
      </c>
      <c r="H43" t="str">
        <f t="shared" si="1"/>
        <v>enseigne1Etablissement,</v>
      </c>
    </row>
    <row r="44" spans="1:8" x14ac:dyDescent="0.35">
      <c r="A44" t="s">
        <v>73</v>
      </c>
      <c r="B44" t="s">
        <v>285</v>
      </c>
      <c r="C44">
        <v>50</v>
      </c>
      <c r="D44" t="s">
        <v>240</v>
      </c>
      <c r="E44">
        <v>43</v>
      </c>
      <c r="G44" t="str">
        <f t="shared" si="0"/>
        <v>'enseigne2Etablissement',</v>
      </c>
      <c r="H44" t="str">
        <f t="shared" si="1"/>
        <v>enseigne2Etablissement,</v>
      </c>
    </row>
    <row r="45" spans="1:8" x14ac:dyDescent="0.35">
      <c r="A45" t="s">
        <v>74</v>
      </c>
      <c r="B45" t="s">
        <v>286</v>
      </c>
      <c r="C45">
        <v>50</v>
      </c>
      <c r="D45" t="s">
        <v>240</v>
      </c>
      <c r="E45">
        <v>44</v>
      </c>
      <c r="G45" t="str">
        <f t="shared" si="0"/>
        <v>'enseigne3Etablissement',</v>
      </c>
      <c r="H45" t="str">
        <f t="shared" si="1"/>
        <v>enseigne3Etablissement,</v>
      </c>
    </row>
    <row r="46" spans="1:8" x14ac:dyDescent="0.35">
      <c r="A46" t="s">
        <v>75</v>
      </c>
      <c r="B46" t="s">
        <v>287</v>
      </c>
      <c r="C46">
        <v>100</v>
      </c>
      <c r="D46" t="s">
        <v>240</v>
      </c>
      <c r="E46">
        <v>45</v>
      </c>
      <c r="G46" t="str">
        <f t="shared" si="0"/>
        <v>'denominationUsuelleEtablissement',</v>
      </c>
      <c r="H46" t="str">
        <f t="shared" si="1"/>
        <v>denominationUsuelleEtablissement,</v>
      </c>
    </row>
    <row r="47" spans="1:8" x14ac:dyDescent="0.35">
      <c r="A47" t="s">
        <v>76</v>
      </c>
      <c r="B47" t="s">
        <v>288</v>
      </c>
      <c r="C47">
        <v>6</v>
      </c>
      <c r="D47" t="s">
        <v>244</v>
      </c>
      <c r="E47">
        <v>46</v>
      </c>
      <c r="G47" t="str">
        <f t="shared" si="0"/>
        <v>'activitePrincipaleEtablissement',</v>
      </c>
      <c r="H47" t="str">
        <f t="shared" si="1"/>
        <v>activitePrincipaleEtablissement,</v>
      </c>
    </row>
    <row r="48" spans="1:8" x14ac:dyDescent="0.35">
      <c r="A48" t="s">
        <v>77</v>
      </c>
      <c r="B48" t="s">
        <v>289</v>
      </c>
      <c r="C48">
        <v>8</v>
      </c>
      <c r="D48" t="s">
        <v>244</v>
      </c>
      <c r="E48">
        <v>47</v>
      </c>
      <c r="G48" t="str">
        <f t="shared" si="0"/>
        <v>'nomenclatureActivitePrincipaleEtablissement',</v>
      </c>
      <c r="H48" t="str">
        <f t="shared" si="1"/>
        <v>nomenclatureActivitePrincipaleEtablissement,</v>
      </c>
    </row>
    <row r="49" spans="1:8" x14ac:dyDescent="0.35">
      <c r="A49" t="s">
        <v>78</v>
      </c>
      <c r="B49" t="s">
        <v>290</v>
      </c>
      <c r="C49">
        <v>1</v>
      </c>
      <c r="D49" t="s">
        <v>244</v>
      </c>
      <c r="E49">
        <v>48</v>
      </c>
      <c r="G49" t="str">
        <f t="shared" si="0"/>
        <v>'caractereEmployeurEtablissement',</v>
      </c>
      <c r="H49" t="str">
        <f t="shared" si="1"/>
        <v>caractereEmployeurEtablissement,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G2" sqref="G2:G34"/>
    </sheetView>
  </sheetViews>
  <sheetFormatPr baseColWidth="10" defaultRowHeight="14.5" x14ac:dyDescent="0.35"/>
  <cols>
    <col min="1" max="1" width="36.7265625" bestFit="1" customWidth="1"/>
    <col min="2" max="2" width="58.453125" bestFit="1" customWidth="1"/>
    <col min="3" max="3" width="8.54296875" bestFit="1" customWidth="1"/>
    <col min="4" max="4" width="12.453125" bestFit="1" customWidth="1"/>
    <col min="5" max="5" width="5.7265625" bestFit="1" customWidth="1"/>
    <col min="6" max="6" width="38.08984375" bestFit="1" customWidth="1"/>
    <col min="7" max="7" width="37.1796875" bestFit="1" customWidth="1"/>
  </cols>
  <sheetData>
    <row r="1" spans="1:7" x14ac:dyDescent="0.35">
      <c r="A1" t="s">
        <v>234</v>
      </c>
      <c r="B1" t="s">
        <v>235</v>
      </c>
      <c r="C1" t="s">
        <v>236</v>
      </c>
      <c r="D1" t="s">
        <v>237</v>
      </c>
      <c r="E1" t="s">
        <v>238</v>
      </c>
    </row>
    <row r="2" spans="1:7" x14ac:dyDescent="0.35">
      <c r="A2" t="s">
        <v>0</v>
      </c>
      <c r="B2" t="s">
        <v>239</v>
      </c>
      <c r="C2">
        <v>9</v>
      </c>
      <c r="D2" t="s">
        <v>240</v>
      </c>
      <c r="E2">
        <v>1</v>
      </c>
      <c r="F2" t="str">
        <f>CONCATENATE("'",A2,"',")</f>
        <v>'siren',</v>
      </c>
      <c r="G2" t="str">
        <f>CONCATENATE(A2,",")</f>
        <v>siren,</v>
      </c>
    </row>
    <row r="3" spans="1:7" x14ac:dyDescent="0.35">
      <c r="A3" t="s">
        <v>12</v>
      </c>
      <c r="B3" t="s">
        <v>291</v>
      </c>
      <c r="C3">
        <v>1</v>
      </c>
      <c r="D3" t="s">
        <v>244</v>
      </c>
      <c r="E3">
        <v>2</v>
      </c>
      <c r="F3" t="str">
        <f t="shared" ref="F3:F34" si="0">CONCATENATE("'",A3,"',")</f>
        <v>'statutDiffusionUniteLegale',</v>
      </c>
      <c r="G3" t="str">
        <f t="shared" ref="G3:G34" si="1">CONCATENATE(A3,",")</f>
        <v>statutDiffusionUniteLegale,</v>
      </c>
    </row>
    <row r="4" spans="1:7" x14ac:dyDescent="0.35">
      <c r="A4" t="s">
        <v>13</v>
      </c>
      <c r="B4" t="s">
        <v>292</v>
      </c>
      <c r="C4">
        <v>5</v>
      </c>
      <c r="D4" t="s">
        <v>240</v>
      </c>
      <c r="E4">
        <v>3</v>
      </c>
      <c r="F4" t="str">
        <f t="shared" si="0"/>
        <v>'unitePurgeeUniteLegale',</v>
      </c>
      <c r="G4" t="str">
        <f t="shared" si="1"/>
        <v>unitePurgeeUniteLegale,</v>
      </c>
    </row>
    <row r="5" spans="1:7" x14ac:dyDescent="0.35">
      <c r="A5" t="s">
        <v>14</v>
      </c>
      <c r="B5" t="s">
        <v>293</v>
      </c>
      <c r="C5">
        <v>10</v>
      </c>
      <c r="D5" t="s">
        <v>246</v>
      </c>
      <c r="E5">
        <v>4</v>
      </c>
      <c r="F5" t="str">
        <f t="shared" si="0"/>
        <v>'dateCreationUniteLegale',</v>
      </c>
      <c r="G5" t="str">
        <f t="shared" si="1"/>
        <v>dateCreationUniteLegale,</v>
      </c>
    </row>
    <row r="6" spans="1:7" x14ac:dyDescent="0.35">
      <c r="A6" t="s">
        <v>17</v>
      </c>
      <c r="B6" t="s">
        <v>294</v>
      </c>
      <c r="C6">
        <v>20</v>
      </c>
      <c r="D6" t="s">
        <v>240</v>
      </c>
      <c r="E6">
        <v>5</v>
      </c>
      <c r="F6" t="str">
        <f t="shared" si="0"/>
        <v>'sigleUniteLegale',</v>
      </c>
      <c r="G6" t="str">
        <f t="shared" si="1"/>
        <v>sigleUniteLegale,</v>
      </c>
    </row>
    <row r="7" spans="1:7" x14ac:dyDescent="0.35">
      <c r="A7" t="s">
        <v>21</v>
      </c>
      <c r="B7" t="s">
        <v>295</v>
      </c>
      <c r="C7">
        <v>1</v>
      </c>
      <c r="D7" t="s">
        <v>244</v>
      </c>
      <c r="E7">
        <v>6</v>
      </c>
      <c r="F7" t="str">
        <f t="shared" si="0"/>
        <v>'sexeUniteLegale',</v>
      </c>
      <c r="G7" t="str">
        <f t="shared" si="1"/>
        <v>sexeUniteLegale,</v>
      </c>
    </row>
    <row r="8" spans="1:7" x14ac:dyDescent="0.35">
      <c r="A8" t="s">
        <v>24</v>
      </c>
      <c r="B8" t="s">
        <v>296</v>
      </c>
      <c r="C8">
        <v>20</v>
      </c>
      <c r="D8" t="s">
        <v>240</v>
      </c>
      <c r="E8">
        <v>7</v>
      </c>
      <c r="F8" t="str">
        <f t="shared" si="0"/>
        <v>'prenom1UniteLegale',</v>
      </c>
      <c r="G8" t="str">
        <f t="shared" si="1"/>
        <v>prenom1UniteLegale,</v>
      </c>
    </row>
    <row r="9" spans="1:7" x14ac:dyDescent="0.35">
      <c r="A9" t="s">
        <v>25</v>
      </c>
      <c r="B9" t="s">
        <v>297</v>
      </c>
      <c r="C9">
        <v>20</v>
      </c>
      <c r="D9" t="s">
        <v>240</v>
      </c>
      <c r="E9">
        <v>8</v>
      </c>
      <c r="F9" t="str">
        <f t="shared" si="0"/>
        <v>'prenom2UniteLegale',</v>
      </c>
      <c r="G9" t="str">
        <f t="shared" si="1"/>
        <v>prenom2UniteLegale,</v>
      </c>
    </row>
    <row r="10" spans="1:7" x14ac:dyDescent="0.35">
      <c r="A10" t="s">
        <v>26</v>
      </c>
      <c r="B10" t="s">
        <v>298</v>
      </c>
      <c r="C10">
        <v>20</v>
      </c>
      <c r="D10" t="s">
        <v>240</v>
      </c>
      <c r="E10">
        <v>9</v>
      </c>
      <c r="F10" t="str">
        <f t="shared" si="0"/>
        <v>'prenom3UniteLegale',</v>
      </c>
      <c r="G10" t="str">
        <f t="shared" si="1"/>
        <v>prenom3UniteLegale,</v>
      </c>
    </row>
    <row r="11" spans="1:7" x14ac:dyDescent="0.35">
      <c r="A11" t="s">
        <v>27</v>
      </c>
      <c r="B11" t="s">
        <v>299</v>
      </c>
      <c r="C11">
        <v>20</v>
      </c>
      <c r="D11" t="s">
        <v>240</v>
      </c>
      <c r="E11">
        <v>10</v>
      </c>
      <c r="F11" t="str">
        <f t="shared" si="0"/>
        <v>'prenom4UniteLegale',</v>
      </c>
      <c r="G11" t="str">
        <f t="shared" si="1"/>
        <v>prenom4UniteLegale,</v>
      </c>
    </row>
    <row r="12" spans="1:7" x14ac:dyDescent="0.35">
      <c r="A12" t="s">
        <v>28</v>
      </c>
      <c r="B12" t="s">
        <v>300</v>
      </c>
      <c r="C12">
        <v>20</v>
      </c>
      <c r="D12" t="s">
        <v>240</v>
      </c>
      <c r="E12">
        <v>11</v>
      </c>
      <c r="F12" t="str">
        <f t="shared" si="0"/>
        <v>'prenomUsuelUniteLegale',</v>
      </c>
      <c r="G12" t="str">
        <f t="shared" si="1"/>
        <v>prenomUsuelUniteLegale,</v>
      </c>
    </row>
    <row r="13" spans="1:7" x14ac:dyDescent="0.35">
      <c r="A13" t="s">
        <v>29</v>
      </c>
      <c r="B13" t="s">
        <v>301</v>
      </c>
      <c r="C13">
        <v>100</v>
      </c>
      <c r="D13" t="s">
        <v>240</v>
      </c>
      <c r="E13">
        <v>12</v>
      </c>
      <c r="F13" t="str">
        <f t="shared" si="0"/>
        <v>'pseudonymeUniteLegale',</v>
      </c>
      <c r="G13" t="str">
        <f t="shared" si="1"/>
        <v>pseudonymeUniteLegale,</v>
      </c>
    </row>
    <row r="14" spans="1:7" x14ac:dyDescent="0.35">
      <c r="A14" t="s">
        <v>32</v>
      </c>
      <c r="B14" t="s">
        <v>302</v>
      </c>
      <c r="C14">
        <v>10</v>
      </c>
      <c r="D14" t="s">
        <v>240</v>
      </c>
      <c r="E14">
        <v>13</v>
      </c>
      <c r="F14" t="str">
        <f t="shared" si="0"/>
        <v>'identifiantAssociationUniteLegale',</v>
      </c>
      <c r="G14" t="str">
        <f t="shared" si="1"/>
        <v>identifiantAssociationUniteLegale,</v>
      </c>
    </row>
    <row r="15" spans="1:7" x14ac:dyDescent="0.35">
      <c r="A15" t="s">
        <v>35</v>
      </c>
      <c r="B15" t="s">
        <v>303</v>
      </c>
      <c r="C15">
        <v>2</v>
      </c>
      <c r="D15" t="s">
        <v>244</v>
      </c>
      <c r="E15">
        <v>14</v>
      </c>
      <c r="F15" t="str">
        <f t="shared" si="0"/>
        <v>'trancheEffectifsUniteLegale',</v>
      </c>
      <c r="G15" t="str">
        <f t="shared" si="1"/>
        <v>trancheEffectifsUniteLegale,</v>
      </c>
    </row>
    <row r="16" spans="1:7" x14ac:dyDescent="0.35">
      <c r="A16" t="s">
        <v>36</v>
      </c>
      <c r="B16" t="s">
        <v>304</v>
      </c>
      <c r="C16">
        <v>4</v>
      </c>
      <c r="D16" t="s">
        <v>246</v>
      </c>
      <c r="E16">
        <v>15</v>
      </c>
      <c r="F16" t="str">
        <f t="shared" si="0"/>
        <v>'anneeEffectifsUniteLegale',</v>
      </c>
      <c r="G16" t="str">
        <f t="shared" si="1"/>
        <v>anneeEffectifsUniteLegale,</v>
      </c>
    </row>
    <row r="17" spans="1:7" x14ac:dyDescent="0.35">
      <c r="A17" t="s">
        <v>38</v>
      </c>
      <c r="B17" t="s">
        <v>305</v>
      </c>
      <c r="C17">
        <v>10</v>
      </c>
      <c r="D17" t="s">
        <v>246</v>
      </c>
      <c r="E17">
        <v>16</v>
      </c>
      <c r="F17" t="str">
        <f t="shared" si="0"/>
        <v>'dateDernierTraitementUniteLegale',</v>
      </c>
      <c r="G17" t="str">
        <f t="shared" si="1"/>
        <v>dateDernierTraitementUniteLegale,</v>
      </c>
    </row>
    <row r="18" spans="1:7" x14ac:dyDescent="0.35">
      <c r="A18" t="s">
        <v>306</v>
      </c>
      <c r="B18" t="s">
        <v>307</v>
      </c>
      <c r="C18">
        <v>2</v>
      </c>
      <c r="D18" t="s">
        <v>253</v>
      </c>
      <c r="E18">
        <v>17</v>
      </c>
      <c r="F18" t="str">
        <f t="shared" si="0"/>
        <v>'nombrePeriodesUniteLegale',</v>
      </c>
      <c r="G18" t="str">
        <f t="shared" si="1"/>
        <v>nombrePeriodesUniteLegale,</v>
      </c>
    </row>
    <row r="19" spans="1:7" x14ac:dyDescent="0.35">
      <c r="A19" t="s">
        <v>39</v>
      </c>
      <c r="B19" t="s">
        <v>308</v>
      </c>
      <c r="C19">
        <v>3</v>
      </c>
      <c r="D19" t="s">
        <v>244</v>
      </c>
      <c r="E19">
        <v>18</v>
      </c>
      <c r="F19" t="str">
        <f t="shared" si="0"/>
        <v>'categorieEntreprise',</v>
      </c>
      <c r="G19" t="str">
        <f t="shared" si="1"/>
        <v>categorieEntreprise,</v>
      </c>
    </row>
    <row r="20" spans="1:7" x14ac:dyDescent="0.35">
      <c r="A20" t="s">
        <v>40</v>
      </c>
      <c r="B20" t="s">
        <v>309</v>
      </c>
      <c r="C20">
        <v>4</v>
      </c>
      <c r="D20" t="s">
        <v>246</v>
      </c>
      <c r="E20">
        <v>19</v>
      </c>
      <c r="F20" t="str">
        <f t="shared" si="0"/>
        <v>'anneeCategorieEntreprise',</v>
      </c>
      <c r="G20" t="str">
        <f t="shared" si="1"/>
        <v>anneeCategorieEntreprise,</v>
      </c>
    </row>
    <row r="21" spans="1:7" x14ac:dyDescent="0.35">
      <c r="A21" t="s">
        <v>70</v>
      </c>
      <c r="B21" t="s">
        <v>310</v>
      </c>
      <c r="C21">
        <v>10</v>
      </c>
      <c r="D21" t="s">
        <v>246</v>
      </c>
      <c r="E21">
        <v>20</v>
      </c>
      <c r="F21" t="str">
        <f t="shared" si="0"/>
        <v>'dateDebut',</v>
      </c>
      <c r="G21" t="str">
        <f t="shared" si="1"/>
        <v>dateDebut,</v>
      </c>
    </row>
    <row r="22" spans="1:7" x14ac:dyDescent="0.35">
      <c r="A22" t="s">
        <v>11</v>
      </c>
      <c r="B22" t="s">
        <v>311</v>
      </c>
      <c r="C22">
        <v>1</v>
      </c>
      <c r="D22" t="s">
        <v>244</v>
      </c>
      <c r="E22">
        <v>21</v>
      </c>
      <c r="F22" t="str">
        <f t="shared" si="0"/>
        <v>'etatAdministratifUniteLegale',</v>
      </c>
      <c r="G22" t="str">
        <f t="shared" si="1"/>
        <v>etatAdministratifUniteLegale,</v>
      </c>
    </row>
    <row r="23" spans="1:7" x14ac:dyDescent="0.35">
      <c r="A23" t="s">
        <v>22</v>
      </c>
      <c r="B23" t="s">
        <v>312</v>
      </c>
      <c r="C23">
        <v>100</v>
      </c>
      <c r="D23" t="s">
        <v>240</v>
      </c>
      <c r="E23">
        <v>22</v>
      </c>
      <c r="F23" t="str">
        <f t="shared" si="0"/>
        <v>'nomUniteLegale',</v>
      </c>
      <c r="G23" t="str">
        <f t="shared" si="1"/>
        <v>nomUniteLegale,</v>
      </c>
    </row>
    <row r="24" spans="1:7" x14ac:dyDescent="0.35">
      <c r="A24" t="s">
        <v>23</v>
      </c>
      <c r="B24" t="s">
        <v>313</v>
      </c>
      <c r="C24">
        <v>100</v>
      </c>
      <c r="D24" t="s">
        <v>240</v>
      </c>
      <c r="E24">
        <v>23</v>
      </c>
      <c r="F24" t="str">
        <f t="shared" si="0"/>
        <v>'nomUsageUniteLegale',</v>
      </c>
      <c r="G24" t="str">
        <f t="shared" si="1"/>
        <v>nomUsageUniteLegale,</v>
      </c>
    </row>
    <row r="25" spans="1:7" x14ac:dyDescent="0.35">
      <c r="A25" t="s">
        <v>16</v>
      </c>
      <c r="B25" t="s">
        <v>314</v>
      </c>
      <c r="C25">
        <v>120</v>
      </c>
      <c r="D25" t="s">
        <v>240</v>
      </c>
      <c r="E25">
        <v>24</v>
      </c>
      <c r="F25" t="str">
        <f t="shared" si="0"/>
        <v>'denominationUniteLegale',</v>
      </c>
      <c r="G25" t="str">
        <f t="shared" si="1"/>
        <v>denominationUniteLegale,</v>
      </c>
    </row>
    <row r="26" spans="1:7" x14ac:dyDescent="0.35">
      <c r="A26" t="s">
        <v>18</v>
      </c>
      <c r="B26" t="s">
        <v>315</v>
      </c>
      <c r="C26">
        <v>70</v>
      </c>
      <c r="D26" t="s">
        <v>240</v>
      </c>
      <c r="E26">
        <v>25</v>
      </c>
      <c r="F26" t="str">
        <f t="shared" si="0"/>
        <v>'denominationUsuelle1UniteLegale',</v>
      </c>
      <c r="G26" t="str">
        <f t="shared" si="1"/>
        <v>denominationUsuelle1UniteLegale,</v>
      </c>
    </row>
    <row r="27" spans="1:7" x14ac:dyDescent="0.35">
      <c r="A27" t="s">
        <v>19</v>
      </c>
      <c r="B27" t="s">
        <v>316</v>
      </c>
      <c r="C27">
        <v>70</v>
      </c>
      <c r="D27" t="s">
        <v>240</v>
      </c>
      <c r="E27">
        <v>26</v>
      </c>
      <c r="F27" t="str">
        <f t="shared" si="0"/>
        <v>'denominationUsuelle2UniteLegale',</v>
      </c>
      <c r="G27" t="str">
        <f t="shared" si="1"/>
        <v>denominationUsuelle2UniteLegale,</v>
      </c>
    </row>
    <row r="28" spans="1:7" x14ac:dyDescent="0.35">
      <c r="A28" t="s">
        <v>20</v>
      </c>
      <c r="B28" t="s">
        <v>317</v>
      </c>
      <c r="C28">
        <v>70</v>
      </c>
      <c r="D28" t="s">
        <v>240</v>
      </c>
      <c r="E28">
        <v>27</v>
      </c>
      <c r="F28" t="str">
        <f t="shared" si="0"/>
        <v>'denominationUsuelle3UniteLegale',</v>
      </c>
      <c r="G28" t="str">
        <f t="shared" si="1"/>
        <v>denominationUsuelle3UniteLegale,</v>
      </c>
    </row>
    <row r="29" spans="1:7" x14ac:dyDescent="0.35">
      <c r="A29" t="s">
        <v>15</v>
      </c>
      <c r="B29" t="s">
        <v>318</v>
      </c>
      <c r="C29">
        <v>4</v>
      </c>
      <c r="D29" t="s">
        <v>244</v>
      </c>
      <c r="E29">
        <v>28</v>
      </c>
      <c r="F29" t="str">
        <f t="shared" si="0"/>
        <v>'categorieJuridiqueUniteLegale',</v>
      </c>
      <c r="G29" t="str">
        <f t="shared" si="1"/>
        <v>categorieJuridiqueUniteLegale,</v>
      </c>
    </row>
    <row r="30" spans="1:7" x14ac:dyDescent="0.35">
      <c r="A30" t="s">
        <v>30</v>
      </c>
      <c r="B30" t="s">
        <v>319</v>
      </c>
      <c r="C30">
        <v>6</v>
      </c>
      <c r="D30" t="s">
        <v>244</v>
      </c>
      <c r="E30">
        <v>29</v>
      </c>
      <c r="F30" t="str">
        <f t="shared" si="0"/>
        <v>'activitePrincipaleUniteLegale',</v>
      </c>
      <c r="G30" t="str">
        <f t="shared" si="1"/>
        <v>activitePrincipaleUniteLegale,</v>
      </c>
    </row>
    <row r="31" spans="1:7" x14ac:dyDescent="0.35">
      <c r="A31" t="s">
        <v>31</v>
      </c>
      <c r="B31" t="s">
        <v>320</v>
      </c>
      <c r="C31">
        <v>8</v>
      </c>
      <c r="D31" t="s">
        <v>244</v>
      </c>
      <c r="E31">
        <v>30</v>
      </c>
      <c r="F31" t="str">
        <f t="shared" si="0"/>
        <v>'nomenclatureActivitePrincipaleUniteLegale',</v>
      </c>
      <c r="G31" t="str">
        <f t="shared" si="1"/>
        <v>nomenclatureActivitePrincipaleUniteLegale,</v>
      </c>
    </row>
    <row r="32" spans="1:7" x14ac:dyDescent="0.35">
      <c r="A32" t="s">
        <v>37</v>
      </c>
      <c r="B32" t="s">
        <v>321</v>
      </c>
      <c r="C32">
        <v>5</v>
      </c>
      <c r="D32" t="s">
        <v>240</v>
      </c>
      <c r="E32">
        <v>31</v>
      </c>
      <c r="F32" t="str">
        <f t="shared" si="0"/>
        <v>'nicSiegeUniteLegale',</v>
      </c>
      <c r="G32" t="str">
        <f t="shared" si="1"/>
        <v>nicSiegeUniteLegale,</v>
      </c>
    </row>
    <row r="33" spans="1:7" x14ac:dyDescent="0.35">
      <c r="A33" t="s">
        <v>33</v>
      </c>
      <c r="B33" t="s">
        <v>322</v>
      </c>
      <c r="C33">
        <v>1</v>
      </c>
      <c r="D33" t="s">
        <v>244</v>
      </c>
      <c r="E33">
        <v>32</v>
      </c>
      <c r="F33" t="str">
        <f t="shared" si="0"/>
        <v>'economieSocialeSolidaireUniteLegale',</v>
      </c>
      <c r="G33" t="str">
        <f t="shared" si="1"/>
        <v>economieSocialeSolidaireUniteLegale,</v>
      </c>
    </row>
    <row r="34" spans="1:7" x14ac:dyDescent="0.35">
      <c r="A34" t="s">
        <v>34</v>
      </c>
      <c r="B34" t="s">
        <v>323</v>
      </c>
      <c r="C34">
        <v>1</v>
      </c>
      <c r="D34" t="s">
        <v>244</v>
      </c>
      <c r="E34">
        <v>33</v>
      </c>
      <c r="F34" t="str">
        <f t="shared" si="0"/>
        <v>'caractereEmployeurUniteLegale',</v>
      </c>
      <c r="G34" t="str">
        <f t="shared" si="1"/>
        <v>caractereEmployeurUniteLegale,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5</vt:i4>
      </vt:variant>
    </vt:vector>
  </HeadingPairs>
  <TitlesOfParts>
    <vt:vector size="8" baseType="lpstr">
      <vt:lpstr>api_response_csv</vt:lpstr>
      <vt:lpstr>stock_etablissement</vt:lpstr>
      <vt:lpstr>stock_unitelegale</vt:lpstr>
      <vt:lpstr>stock_etablissement!dessinstocketablissement</vt:lpstr>
      <vt:lpstr>stock_unitelegale!dessinstocketablissement</vt:lpstr>
      <vt:lpstr>stock_etablissement!dessinstocketablissement_1</vt:lpstr>
      <vt:lpstr>stock_unitelegale!dessinstockunitelegale</vt:lpstr>
      <vt:lpstr>api_response_csv!response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2018-11-20T20:39:45Z</dcterms:modified>
</cp:coreProperties>
</file>